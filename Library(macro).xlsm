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45" windowWidth="18075" windowHeight="11700" firstSheet="2" activeTab="2"/>
  </bookViews>
  <sheets>
    <sheet name="Home" sheetId="4" r:id="rId1"/>
    <sheet name="Borrow Form" sheetId="1" r:id="rId2"/>
    <sheet name="Search" sheetId="12" r:id="rId3"/>
    <sheet name="Return Books" sheetId="7" r:id="rId4"/>
    <sheet name="Import Books" sheetId="10" r:id="rId5"/>
    <sheet name="Staff" sheetId="5" r:id="rId6"/>
    <sheet name="Helper Sheet" sheetId="2" r:id="rId7"/>
    <sheet name="Database" sheetId="3" r:id="rId8"/>
    <sheet name="Staff Data" sheetId="6" r:id="rId9"/>
    <sheet name="Imported Books" sheetId="9" r:id="rId10"/>
  </sheets>
  <calcPr calcId="144525" calcMode="manual"/>
</workbook>
</file>

<file path=xl/calcChain.xml><?xml version="1.0" encoding="utf-8"?>
<calcChain xmlns="http://schemas.openxmlformats.org/spreadsheetml/2006/main">
  <c r="D19" i="2" l="1"/>
  <c r="E19" i="2"/>
  <c r="F19" i="2"/>
  <c r="C19" i="2"/>
  <c r="B19" i="2"/>
  <c r="A19" i="2"/>
  <c r="H61" i="12" l="1"/>
  <c r="H60" i="12"/>
  <c r="H59" i="12"/>
  <c r="H58" i="12"/>
  <c r="H57" i="12"/>
  <c r="H56" i="12"/>
  <c r="H55" i="12"/>
  <c r="H65" i="2" l="1"/>
  <c r="G65" i="2"/>
  <c r="F65" i="2"/>
  <c r="E65" i="2"/>
  <c r="D65" i="2"/>
  <c r="C65" i="2"/>
  <c r="B65" i="2"/>
  <c r="A65" i="2"/>
  <c r="H47" i="3" l="1"/>
  <c r="H48" i="3"/>
  <c r="H49" i="3"/>
  <c r="H50" i="3"/>
  <c r="H51" i="3"/>
  <c r="H52" i="3"/>
  <c r="H53" i="3"/>
  <c r="B16" i="2" l="1"/>
  <c r="B14" i="2"/>
  <c r="B13" i="2"/>
  <c r="B11" i="2"/>
  <c r="E24" i="2" l="1"/>
  <c r="H24" i="2"/>
  <c r="G24" i="2"/>
  <c r="F24" i="2"/>
  <c r="D24" i="2"/>
  <c r="C24" i="2"/>
  <c r="B24" i="2"/>
  <c r="A24" i="2"/>
  <c r="C3" i="2" l="1"/>
</calcChain>
</file>

<file path=xl/sharedStrings.xml><?xml version="1.0" encoding="utf-8"?>
<sst xmlns="http://schemas.openxmlformats.org/spreadsheetml/2006/main" count="1015" uniqueCount="126">
  <si>
    <t>Student</t>
  </si>
  <si>
    <t>Name</t>
  </si>
  <si>
    <t>Class</t>
  </si>
  <si>
    <t>Book</t>
  </si>
  <si>
    <t>Author</t>
  </si>
  <si>
    <t>Price</t>
  </si>
  <si>
    <t>Date</t>
  </si>
  <si>
    <t>Issue Date</t>
  </si>
  <si>
    <t>Return Date</t>
  </si>
  <si>
    <r>
      <t>7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</si>
  <si>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8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</si>
  <si>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9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</si>
  <si>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</si>
  <si>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11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</si>
  <si>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12</t>
    </r>
    <r>
      <rPr>
        <vertAlign val="superscript"/>
        <sz val="11"/>
        <color theme="1"/>
        <rFont val="Calibri"/>
        <family val="2"/>
        <scheme val="minor"/>
      </rPr>
      <t>th</t>
    </r>
  </si>
  <si>
    <t xml:space="preserve">PKR 200  </t>
  </si>
  <si>
    <t xml:space="preserve">PKR 300  </t>
  </si>
  <si>
    <t xml:space="preserve">PKR 500  </t>
  </si>
  <si>
    <t xml:space="preserve">PKR 700  </t>
  </si>
  <si>
    <t xml:space="preserve">PKR 900  </t>
  </si>
  <si>
    <t xml:space="preserve">PKR 1000  </t>
  </si>
  <si>
    <t>Al-Hijrah Residential School &amp; College</t>
  </si>
  <si>
    <t>Students</t>
  </si>
  <si>
    <t>Books</t>
  </si>
  <si>
    <t>sfsaf</t>
  </si>
  <si>
    <t>8th</t>
  </si>
  <si>
    <t>fafsd</t>
  </si>
  <si>
    <t>rwerw</t>
  </si>
  <si>
    <t>Zahoor Ahmed</t>
  </si>
  <si>
    <t>11th</t>
  </si>
  <si>
    <t>sfadf</t>
  </si>
  <si>
    <t>sdfsda</t>
  </si>
  <si>
    <t>afs</t>
  </si>
  <si>
    <t>7th</t>
  </si>
  <si>
    <t>fsadfs</t>
  </si>
  <si>
    <t>dsafs</t>
  </si>
  <si>
    <t>sdfsd</t>
  </si>
  <si>
    <t>fdfs</t>
  </si>
  <si>
    <t>wesf</t>
  </si>
  <si>
    <t>fsaf</t>
  </si>
  <si>
    <t>sdfs</t>
  </si>
  <si>
    <t>zahoor</t>
  </si>
  <si>
    <t>ggsgsd</t>
  </si>
  <si>
    <t>yryrty</t>
  </si>
  <si>
    <t>zahoor ahmed</t>
  </si>
  <si>
    <t>Yalghar</t>
  </si>
  <si>
    <t>Tariq Ismail Sagar</t>
  </si>
  <si>
    <t>Librarian</t>
  </si>
  <si>
    <t>Library Incahrge</t>
  </si>
  <si>
    <t>Batch</t>
  </si>
  <si>
    <t>Second Incharge</t>
  </si>
  <si>
    <t>Session</t>
  </si>
  <si>
    <t>Name2</t>
  </si>
  <si>
    <t>Session3</t>
  </si>
  <si>
    <t xml:space="preserve"> Incharge</t>
  </si>
  <si>
    <t>Batch2</t>
  </si>
  <si>
    <t>In_Name</t>
  </si>
  <si>
    <t>In_Batch</t>
  </si>
  <si>
    <t>In_Session</t>
  </si>
  <si>
    <t>Rashid Khosa</t>
  </si>
  <si>
    <t>17th</t>
  </si>
  <si>
    <r>
      <t>17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</si>
  <si>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18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</si>
  <si>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19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</si>
  <si>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20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</si>
  <si>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21</t>
    </r>
    <r>
      <rPr>
        <vertAlign val="superscript"/>
        <sz val="11"/>
        <color theme="1"/>
        <rFont val="Calibri"/>
        <family val="2"/>
        <scheme val="minor"/>
      </rPr>
      <t>st</t>
    </r>
  </si>
  <si>
    <r>
      <t>22</t>
    </r>
    <r>
      <rPr>
        <vertAlign val="superscript"/>
        <sz val="11"/>
        <color theme="1"/>
        <rFont val="Calibri"/>
        <family val="2"/>
        <scheme val="minor"/>
      </rPr>
      <t>nd</t>
    </r>
  </si>
  <si>
    <r>
      <t>23</t>
    </r>
    <r>
      <rPr>
        <vertAlign val="superscript"/>
        <sz val="11"/>
        <color theme="1"/>
        <rFont val="Calibri"/>
        <family val="2"/>
        <scheme val="minor"/>
      </rPr>
      <t>rd</t>
    </r>
  </si>
  <si>
    <r>
      <t>24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</si>
  <si>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25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</si>
  <si>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26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</si>
  <si>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27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</si>
  <si>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28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</si>
  <si>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29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</si>
  <si>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30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</si>
  <si>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31</t>
    </r>
    <r>
      <rPr>
        <vertAlign val="superscript"/>
        <sz val="11"/>
        <color theme="1"/>
        <rFont val="Calibri"/>
        <family val="2"/>
        <scheme val="minor"/>
      </rPr>
      <t>st</t>
    </r>
  </si>
  <si>
    <r>
      <t>32</t>
    </r>
    <r>
      <rPr>
        <vertAlign val="superscript"/>
        <sz val="11"/>
        <color theme="1"/>
        <rFont val="Calibri"/>
        <family val="2"/>
        <scheme val="minor"/>
      </rPr>
      <t>nd</t>
    </r>
  </si>
  <si>
    <r>
      <t>33</t>
    </r>
    <r>
      <rPr>
        <vertAlign val="superscript"/>
        <sz val="11"/>
        <color theme="1"/>
        <rFont val="Calibri"/>
        <family val="2"/>
        <scheme val="minor"/>
      </rPr>
      <t>rd</t>
    </r>
  </si>
  <si>
    <r>
      <t>34</t>
    </r>
    <r>
      <rPr>
        <vertAlign val="superscript"/>
        <sz val="11"/>
        <color theme="1"/>
        <rFont val="Calibri"/>
        <family val="2"/>
        <scheme val="minor"/>
      </rPr>
      <t>th</t>
    </r>
  </si>
  <si>
    <r>
      <t>35</t>
    </r>
    <r>
      <rPr>
        <vertAlign val="superscript"/>
        <sz val="11"/>
        <color theme="1"/>
        <rFont val="Calibri"/>
        <family val="2"/>
        <scheme val="minor"/>
      </rPr>
      <t>th</t>
    </r>
  </si>
  <si>
    <t>9th</t>
  </si>
  <si>
    <t>vsdf</t>
  </si>
  <si>
    <t>fsdf</t>
  </si>
  <si>
    <t>sdff</t>
  </si>
  <si>
    <t>Book Name</t>
  </si>
  <si>
    <t>Publication</t>
  </si>
  <si>
    <t>Published Date</t>
  </si>
  <si>
    <t>Edition</t>
  </si>
  <si>
    <t>Donation Date</t>
  </si>
  <si>
    <t>Borrow</t>
  </si>
  <si>
    <t>Alchemist</t>
  </si>
  <si>
    <t>Paulo Coelho</t>
  </si>
  <si>
    <t>ewrwerw</t>
  </si>
  <si>
    <t>werwerwerw</t>
  </si>
  <si>
    <t>The Forty Rules of Love</t>
  </si>
  <si>
    <t>Elif Shafak</t>
  </si>
  <si>
    <t>The Passanger</t>
  </si>
  <si>
    <t>Robins Stun</t>
  </si>
  <si>
    <t>Alqaida</t>
  </si>
  <si>
    <t>Usama</t>
  </si>
  <si>
    <t>usama</t>
  </si>
  <si>
    <t xml:space="preserve">The Kite Runner </t>
  </si>
  <si>
    <t>Khalid Hussaini</t>
  </si>
  <si>
    <t>Ali</t>
  </si>
  <si>
    <t>Umer</t>
  </si>
  <si>
    <t>Import Books</t>
  </si>
  <si>
    <t>Donater</t>
  </si>
  <si>
    <t>Publications</t>
  </si>
  <si>
    <t>Pub Date</t>
  </si>
  <si>
    <t>The Forty Rules Of Love</t>
  </si>
  <si>
    <t>Paulo cohelo</t>
  </si>
  <si>
    <t>Lhr Ltd</t>
  </si>
  <si>
    <t>ABC</t>
  </si>
  <si>
    <t>21st</t>
  </si>
  <si>
    <t/>
  </si>
  <si>
    <t>10th</t>
  </si>
  <si>
    <t>dsad</t>
  </si>
  <si>
    <t>awa</t>
  </si>
  <si>
    <t xml:space="preserve">Shah Saad </t>
  </si>
  <si>
    <t>Europe</t>
  </si>
  <si>
    <t>Haha</t>
  </si>
  <si>
    <t>1/0/2025</t>
  </si>
  <si>
    <t>1/0/2021</t>
  </si>
  <si>
    <t>saado</t>
  </si>
  <si>
    <t>Mubarak Ali</t>
  </si>
  <si>
    <t>Shah Saad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</si>
</sst>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s&quot;#,##0.00;[Red]\-&quot;Rs&quot;#,##0.00"/>
    <numFmt numFmtId="165" formatCode="[$-409]mmmm\ d\,\ yyyy;@"/>
  </numFmts>
  <fonts count="20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Corbel"/>
      <family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name val="Calibri"/>
      <family val="2"/>
      <scheme val="minor"/>
    </font>
    <font>
      <sz val="22"/>
      <color theme="1"/>
      <name val="Calibri"/>
      <family val="2"/>
      <charset val="1"/>
      <scheme val="minor"/>
    </font>
    <font>
      <sz val="28"/>
      <color theme="1"/>
      <name val="Calibri"/>
      <family val="2"/>
      <charset val="1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sz val="28"/>
      <color theme="1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sz val="18"/>
      <color theme="0"/>
      <name val="Calibri"/>
      <family val="2"/>
      <charset val="1"/>
      <scheme val="minor"/>
    </font>
    <font>
      <sz val="16"/>
      <color theme="0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/>
    <xf numFmtId="0" fontId="5" fillId="0" borderId="0" xfId="0" applyFont="1"/>
    <xf numFmtId="164" fontId="0" fillId="0" borderId="0" xfId="0" applyNumberFormat="1"/>
    <xf numFmtId="22" fontId="0" fillId="0" borderId="0" xfId="0" applyNumberFormat="1"/>
    <xf numFmtId="0" fontId="0" fillId="2" borderId="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2" borderId="9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0" fillId="0" borderId="0" xfId="0" applyBorder="1" applyAlignment="1"/>
    <xf numFmtId="0" fontId="0" fillId="6" borderId="0" xfId="0" applyFill="1"/>
    <xf numFmtId="0" fontId="3" fillId="5" borderId="4" xfId="0" applyFont="1" applyFill="1" applyBorder="1"/>
    <xf numFmtId="0" fontId="3" fillId="5" borderId="5" xfId="0" applyFont="1" applyFill="1" applyBorder="1"/>
    <xf numFmtId="15" fontId="0" fillId="3" borderId="10" xfId="0" applyNumberFormat="1" applyFill="1" applyBorder="1"/>
    <xf numFmtId="0" fontId="8" fillId="2" borderId="9" xfId="0" applyFont="1" applyFill="1" applyBorder="1" applyAlignment="1">
      <alignment horizontal="center"/>
    </xf>
    <xf numFmtId="0" fontId="0" fillId="8" borderId="0" xfId="0" applyFill="1"/>
    <xf numFmtId="0" fontId="0" fillId="7" borderId="18" xfId="0" applyFill="1" applyBorder="1"/>
    <xf numFmtId="0" fontId="0" fillId="7" borderId="0" xfId="0" applyFill="1" applyBorder="1"/>
    <xf numFmtId="0" fontId="0" fillId="7" borderId="0" xfId="0" applyFill="1" applyBorder="1" applyAlignment="1"/>
    <xf numFmtId="0" fontId="0" fillId="7" borderId="19" xfId="0" applyFill="1" applyBorder="1"/>
    <xf numFmtId="0" fontId="11" fillId="7" borderId="0" xfId="0" applyFont="1" applyFill="1" applyBorder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8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7" xfId="0" applyFill="1" applyBorder="1"/>
    <xf numFmtId="0" fontId="0" fillId="2" borderId="9" xfId="0" applyFill="1" applyBorder="1"/>
    <xf numFmtId="0" fontId="0" fillId="2" borderId="8" xfId="0" applyFill="1" applyBorder="1"/>
    <xf numFmtId="0" fontId="12" fillId="0" borderId="0" xfId="0" applyFont="1" applyBorder="1" applyAlignment="1">
      <alignment horizontal="center"/>
    </xf>
    <xf numFmtId="0" fontId="0" fillId="0" borderId="0" xfId="0" applyBorder="1"/>
    <xf numFmtId="0" fontId="15" fillId="0" borderId="0" xfId="0" applyFont="1"/>
    <xf numFmtId="0" fontId="13" fillId="0" borderId="18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left"/>
    </xf>
    <xf numFmtId="0" fontId="13" fillId="0" borderId="19" xfId="0" applyFont="1" applyBorder="1" applyAlignment="1">
      <alignment horizontal="left"/>
    </xf>
    <xf numFmtId="0" fontId="12" fillId="0" borderId="0" xfId="0" applyNumberFormat="1" applyFont="1" applyAlignment="1">
      <alignment horizontal="center"/>
    </xf>
    <xf numFmtId="0" fontId="0" fillId="3" borderId="3" xfId="0" applyFill="1" applyBorder="1" applyAlignment="1">
      <alignment horizontal="left"/>
    </xf>
    <xf numFmtId="0" fontId="3" fillId="2" borderId="0" xfId="0" applyFont="1" applyFill="1" applyBorder="1"/>
    <xf numFmtId="0" fontId="16" fillId="0" borderId="0" xfId="0" applyFont="1" applyAlignment="1">
      <alignment horizontal="center"/>
    </xf>
    <xf numFmtId="165" fontId="0" fillId="3" borderId="10" xfId="0" applyNumberFormat="1" applyFill="1" applyBorder="1"/>
    <xf numFmtId="0" fontId="0" fillId="0" borderId="0" xfId="0" applyFont="1" applyAlignment="1">
      <alignment horizontal="center"/>
    </xf>
    <xf numFmtId="0" fontId="0" fillId="0" borderId="0" xfId="0" applyFont="1"/>
    <xf numFmtId="165" fontId="0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12" fillId="0" borderId="2" xfId="0" applyNumberFormat="1" applyFon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5" fontId="0" fillId="3" borderId="28" xfId="0" applyNumberFormat="1" applyFill="1" applyBorder="1"/>
    <xf numFmtId="0" fontId="3" fillId="5" borderId="14" xfId="0" applyFont="1" applyFill="1" applyBorder="1"/>
    <xf numFmtId="0" fontId="0" fillId="3" borderId="27" xfId="0" applyFill="1" applyBorder="1"/>
    <xf numFmtId="0" fontId="19" fillId="5" borderId="14" xfId="0" applyFont="1" applyFill="1" applyBorder="1"/>
    <xf numFmtId="15" fontId="0" fillId="0" borderId="0" xfId="0" applyNumberFormat="1"/>
    <xf numFmtId="0" fontId="18" fillId="2" borderId="0" xfId="0" applyFont="1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7" fillId="10" borderId="0" xfId="0" applyFont="1" applyFill="1" applyAlignment="1">
      <alignment horizontal="center"/>
    </xf>
    <xf numFmtId="0" fontId="7" fillId="10" borderId="0" xfId="0" applyFont="1" applyFill="1"/>
    <xf numFmtId="165" fontId="7" fillId="10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5" fontId="0" fillId="3" borderId="0" xfId="0" applyNumberFormat="1" applyFont="1" applyFill="1" applyAlignment="1">
      <alignment horizontal="center"/>
    </xf>
    <xf numFmtId="0" fontId="0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10" borderId="0" xfId="0" applyFont="1" applyFill="1" applyAlignment="1">
      <alignment horizontal="center"/>
    </xf>
    <xf numFmtId="165" fontId="0" fillId="10" borderId="0" xfId="0" applyNumberFormat="1" applyFont="1" applyFill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9" borderId="10" xfId="0" applyFont="1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14" fillId="9" borderId="23" xfId="0" applyFont="1" applyFill="1" applyBorder="1" applyAlignment="1">
      <alignment horizontal="center"/>
    </xf>
    <xf numFmtId="0" fontId="14" fillId="9" borderId="24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25">
    <dxf>
      <numFmt numFmtId="0" formatCode="General"/>
      <fill>
        <patternFill patternType="solid">
          <bgColor rgb="FF00B050"/>
        </patternFill>
      </fill>
      <border>
        <vertical/>
        <horizontal/>
      </border>
    </dxf>
    <dxf>
      <numFmt numFmtId="0" formatCode="General"/>
      <fill>
        <patternFill patternType="solid">
          <bgColor rgb="FF00B050"/>
        </patternFill>
      </fill>
      <border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2</xdr:col>
      <xdr:colOff>76200</xdr:colOff>
      <xdr:row>3</xdr:row>
      <xdr:rowOff>685800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71500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219635</xdr:colOff>
      <xdr:row>3</xdr:row>
      <xdr:rowOff>22412</xdr:rowOff>
    </xdr:from>
    <xdr:to>
      <xdr:col>18</xdr:col>
      <xdr:colOff>11206</xdr:colOff>
      <xdr:row>3</xdr:row>
      <xdr:rowOff>683559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03" t="38202" r="5056" b="37641"/>
        <a:stretch/>
      </xdr:blipFill>
      <xdr:spPr>
        <a:xfrm>
          <a:off x="9296400" y="593912"/>
          <a:ext cx="1606924" cy="661147"/>
        </a:xfrm>
        <a:prstGeom prst="rect">
          <a:avLst/>
        </a:prstGeom>
      </xdr:spPr>
    </xdr:pic>
    <xdr:clientData/>
  </xdr:twoCellAnchor>
  <xdr:twoCellAnchor>
    <xdr:from>
      <xdr:col>2</xdr:col>
      <xdr:colOff>78443</xdr:colOff>
      <xdr:row>6</xdr:row>
      <xdr:rowOff>168087</xdr:rowOff>
    </xdr:from>
    <xdr:to>
      <xdr:col>5</xdr:col>
      <xdr:colOff>56031</xdr:colOff>
      <xdr:row>16</xdr:row>
      <xdr:rowOff>44823</xdr:rowOff>
    </xdr:to>
    <xdr:sp macro="[0]!Borrow_Books_Home" textlink="">
      <xdr:nvSpPr>
        <xdr:cNvPr id="5" name="Oval 4"/>
        <xdr:cNvSpPr/>
      </xdr:nvSpPr>
      <xdr:spPr>
        <a:xfrm>
          <a:off x="1288678" y="1826558"/>
          <a:ext cx="1792941" cy="1792941"/>
        </a:xfrm>
        <a:prstGeom prst="ellips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r>
            <a:rPr lang="en-US" sz="1400" b="1" i="1">
              <a:solidFill>
                <a:schemeClr val="tx1">
                  <a:lumMod val="75000"/>
                  <a:lumOff val="25000"/>
                </a:schemeClr>
              </a:solidFill>
            </a:rPr>
            <a:t>Borrow</a:t>
          </a:r>
          <a:r>
            <a:rPr lang="en-US" sz="1400" b="1" i="1" baseline="0">
              <a:solidFill>
                <a:schemeClr val="tx1">
                  <a:lumMod val="75000"/>
                  <a:lumOff val="25000"/>
                </a:schemeClr>
              </a:solidFill>
            </a:rPr>
            <a:t> Book</a:t>
          </a:r>
          <a:endParaRPr lang="en-US" sz="1600" b="1" i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493058</xdr:colOff>
      <xdr:row>7</xdr:row>
      <xdr:rowOff>67235</xdr:rowOff>
    </xdr:from>
    <xdr:to>
      <xdr:col>4</xdr:col>
      <xdr:colOff>156881</xdr:colOff>
      <xdr:row>12</xdr:row>
      <xdr:rowOff>35860</xdr:rowOff>
    </xdr:to>
    <xdr:pic macro="[0]!Borrow_Books_Home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3293" y="1916206"/>
          <a:ext cx="874059" cy="932330"/>
        </a:xfrm>
        <a:prstGeom prst="rect">
          <a:avLst/>
        </a:prstGeom>
      </xdr:spPr>
    </xdr:pic>
    <xdr:clientData/>
  </xdr:twoCellAnchor>
  <xdr:twoCellAnchor>
    <xdr:from>
      <xdr:col>5</xdr:col>
      <xdr:colOff>481853</xdr:colOff>
      <xdr:row>7</xdr:row>
      <xdr:rowOff>11204</xdr:rowOff>
    </xdr:from>
    <xdr:to>
      <xdr:col>8</xdr:col>
      <xdr:colOff>459441</xdr:colOff>
      <xdr:row>16</xdr:row>
      <xdr:rowOff>78440</xdr:rowOff>
    </xdr:to>
    <xdr:sp macro="[0]!Return_Books_Home" textlink="">
      <xdr:nvSpPr>
        <xdr:cNvPr id="8" name="Oval 7"/>
        <xdr:cNvSpPr/>
      </xdr:nvSpPr>
      <xdr:spPr>
        <a:xfrm>
          <a:off x="3507441" y="1860175"/>
          <a:ext cx="1792941" cy="1792941"/>
        </a:xfrm>
        <a:prstGeom prst="ellips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r>
            <a:rPr lang="en-US" sz="1400" b="1" i="1" baseline="0">
              <a:solidFill>
                <a:schemeClr val="tx1">
                  <a:lumMod val="75000"/>
                  <a:lumOff val="25000"/>
                </a:schemeClr>
              </a:solidFill>
            </a:rPr>
            <a:t>Return Book</a:t>
          </a:r>
          <a:endParaRPr lang="en-US" sz="1600" b="1" i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6</xdr:col>
      <xdr:colOff>280147</xdr:colOff>
      <xdr:row>7</xdr:row>
      <xdr:rowOff>118780</xdr:rowOff>
    </xdr:from>
    <xdr:to>
      <xdr:col>7</xdr:col>
      <xdr:colOff>549088</xdr:colOff>
      <xdr:row>12</xdr:row>
      <xdr:rowOff>29134</xdr:rowOff>
    </xdr:to>
    <xdr:pic macro="[0]!Return_Books_Home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0853" y="1967751"/>
          <a:ext cx="874059" cy="874059"/>
        </a:xfrm>
        <a:prstGeom prst="rect">
          <a:avLst/>
        </a:prstGeom>
      </xdr:spPr>
    </xdr:pic>
    <xdr:clientData/>
  </xdr:twoCellAnchor>
  <xdr:twoCellAnchor>
    <xdr:from>
      <xdr:col>9</xdr:col>
      <xdr:colOff>324969</xdr:colOff>
      <xdr:row>7</xdr:row>
      <xdr:rowOff>56028</xdr:rowOff>
    </xdr:from>
    <xdr:to>
      <xdr:col>12</xdr:col>
      <xdr:colOff>302557</xdr:colOff>
      <xdr:row>16</xdr:row>
      <xdr:rowOff>123264</xdr:rowOff>
    </xdr:to>
    <xdr:sp macro="[0]!Import_Books_Home" textlink="">
      <xdr:nvSpPr>
        <xdr:cNvPr id="11" name="Oval 10"/>
        <xdr:cNvSpPr/>
      </xdr:nvSpPr>
      <xdr:spPr>
        <a:xfrm>
          <a:off x="5771028" y="1904999"/>
          <a:ext cx="1792941" cy="1792941"/>
        </a:xfrm>
        <a:prstGeom prst="ellips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r>
            <a:rPr lang="en-US" sz="1400" b="1" i="1" baseline="0">
              <a:solidFill>
                <a:schemeClr val="tx1">
                  <a:lumMod val="75000"/>
                  <a:lumOff val="25000"/>
                </a:schemeClr>
              </a:solidFill>
            </a:rPr>
            <a:t>Import Book</a:t>
          </a:r>
          <a:endParaRPr lang="en-US" sz="1600" b="1" i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145677</xdr:colOff>
      <xdr:row>7</xdr:row>
      <xdr:rowOff>134469</xdr:rowOff>
    </xdr:from>
    <xdr:to>
      <xdr:col>11</xdr:col>
      <xdr:colOff>470648</xdr:colOff>
      <xdr:row>12</xdr:row>
      <xdr:rowOff>100853</xdr:rowOff>
    </xdr:to>
    <xdr:pic macro="[0]!Import_Books_Hom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6853" y="1983440"/>
          <a:ext cx="930089" cy="930089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9</xdr:row>
      <xdr:rowOff>89648</xdr:rowOff>
    </xdr:from>
    <xdr:to>
      <xdr:col>11</xdr:col>
      <xdr:colOff>0</xdr:colOff>
      <xdr:row>10</xdr:row>
      <xdr:rowOff>179295</xdr:rowOff>
    </xdr:to>
    <xdr:cxnSp macro="">
      <xdr:nvCxnSpPr>
        <xdr:cNvPr id="10" name="Straight Arrow Connector 9"/>
        <xdr:cNvCxnSpPr/>
      </xdr:nvCxnSpPr>
      <xdr:spPr>
        <a:xfrm>
          <a:off x="6656294" y="2330824"/>
          <a:ext cx="0" cy="280147"/>
        </a:xfrm>
        <a:prstGeom prst="straightConnector1">
          <a:avLst/>
        </a:prstGeom>
        <a:ln>
          <a:solidFill>
            <a:schemeClr val="bg1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156884</xdr:colOff>
      <xdr:row>7</xdr:row>
      <xdr:rowOff>67227</xdr:rowOff>
    </xdr:from>
    <xdr:to>
      <xdr:col>16</xdr:col>
      <xdr:colOff>134472</xdr:colOff>
      <xdr:row>16</xdr:row>
      <xdr:rowOff>134463</xdr:rowOff>
    </xdr:to>
    <xdr:sp macro="[0]!Staff_Home" textlink="">
      <xdr:nvSpPr>
        <xdr:cNvPr id="17" name="Oval 16"/>
        <xdr:cNvSpPr/>
      </xdr:nvSpPr>
      <xdr:spPr>
        <a:xfrm>
          <a:off x="8023413" y="1916198"/>
          <a:ext cx="1792941" cy="1792941"/>
        </a:xfrm>
        <a:prstGeom prst="ellips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400" b="1" i="1" baseline="0">
              <a:solidFill>
                <a:schemeClr val="tx1">
                  <a:lumMod val="75000"/>
                  <a:lumOff val="25000"/>
                </a:schemeClr>
              </a:solidFill>
            </a:rPr>
            <a:t>Staff </a:t>
          </a:r>
          <a:endParaRPr lang="en-US" sz="1600" b="1" i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13</xdr:col>
      <xdr:colOff>571501</xdr:colOff>
      <xdr:row>8</xdr:row>
      <xdr:rowOff>78441</xdr:rowOff>
    </xdr:from>
    <xdr:to>
      <xdr:col>15</xdr:col>
      <xdr:colOff>414617</xdr:colOff>
      <xdr:row>12</xdr:row>
      <xdr:rowOff>132603</xdr:rowOff>
    </xdr:to>
    <xdr:pic macro="[0]!Staff_Home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2117912"/>
          <a:ext cx="1053352" cy="827367"/>
        </a:xfrm>
        <a:prstGeom prst="rect">
          <a:avLst/>
        </a:prstGeom>
      </xdr:spPr>
    </xdr:pic>
    <xdr:clientData/>
  </xdr:twoCellAnchor>
  <xdr:twoCellAnchor>
    <xdr:from>
      <xdr:col>7</xdr:col>
      <xdr:colOff>201706</xdr:colOff>
      <xdr:row>21</xdr:row>
      <xdr:rowOff>179294</xdr:rowOff>
    </xdr:from>
    <xdr:to>
      <xdr:col>10</xdr:col>
      <xdr:colOff>179295</xdr:colOff>
      <xdr:row>31</xdr:row>
      <xdr:rowOff>67235</xdr:rowOff>
    </xdr:to>
    <xdr:sp macro="[0]!Search_Home" textlink="">
      <xdr:nvSpPr>
        <xdr:cNvPr id="22" name="Oval 21"/>
        <xdr:cNvSpPr/>
      </xdr:nvSpPr>
      <xdr:spPr>
        <a:xfrm>
          <a:off x="4437530" y="4706470"/>
          <a:ext cx="1792941" cy="1792941"/>
        </a:xfrm>
        <a:prstGeom prst="ellips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400" b="1" i="1" baseline="0">
              <a:solidFill>
                <a:schemeClr val="tx1">
                  <a:lumMod val="75000"/>
                  <a:lumOff val="25000"/>
                </a:schemeClr>
              </a:solidFill>
            </a:rPr>
            <a:t>Search</a:t>
          </a:r>
          <a:endParaRPr lang="en-US" sz="1600" b="1" i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11205</xdr:colOff>
      <xdr:row>22</xdr:row>
      <xdr:rowOff>67235</xdr:rowOff>
    </xdr:from>
    <xdr:to>
      <xdr:col>9</xdr:col>
      <xdr:colOff>437029</xdr:colOff>
      <xdr:row>27</xdr:row>
      <xdr:rowOff>145677</xdr:rowOff>
    </xdr:to>
    <xdr:pic macro="[0]!Search_Home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2146" y="4784911"/>
          <a:ext cx="1030942" cy="10309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561975</xdr:colOff>
      <xdr:row>4</xdr:row>
      <xdr:rowOff>371475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42900"/>
          <a:ext cx="561975" cy="56197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114299</xdr:colOff>
      <xdr:row>3</xdr:row>
      <xdr:rowOff>0</xdr:rowOff>
    </xdr:from>
    <xdr:to>
      <xdr:col>9</xdr:col>
      <xdr:colOff>9524</xdr:colOff>
      <xdr:row>4</xdr:row>
      <xdr:rowOff>371475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03" t="37063" r="6180" b="38462"/>
        <a:stretch/>
      </xdr:blipFill>
      <xdr:spPr>
        <a:xfrm>
          <a:off x="7058024" y="342900"/>
          <a:ext cx="1685925" cy="561975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9</xdr:row>
      <xdr:rowOff>114300</xdr:rowOff>
    </xdr:from>
    <xdr:to>
      <xdr:col>8</xdr:col>
      <xdr:colOff>1533525</xdr:colOff>
      <xdr:row>11</xdr:row>
      <xdr:rowOff>47625</xdr:rowOff>
    </xdr:to>
    <xdr:sp macro="[0]!Add_Books_Borrow" textlink="">
      <xdr:nvSpPr>
        <xdr:cNvPr id="13" name="Rounded Rectangle 12"/>
        <xdr:cNvSpPr/>
      </xdr:nvSpPr>
      <xdr:spPr>
        <a:xfrm>
          <a:off x="6772275" y="3629025"/>
          <a:ext cx="2609850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Add</a:t>
          </a:r>
        </a:p>
      </xdr:txBody>
    </xdr:sp>
    <xdr:clientData/>
  </xdr:twoCellAnchor>
  <xdr:twoCellAnchor>
    <xdr:from>
      <xdr:col>7</xdr:col>
      <xdr:colOff>9525</xdr:colOff>
      <xdr:row>11</xdr:row>
      <xdr:rowOff>247650</xdr:rowOff>
    </xdr:from>
    <xdr:to>
      <xdr:col>8</xdr:col>
      <xdr:colOff>1514475</xdr:colOff>
      <xdr:row>14</xdr:row>
      <xdr:rowOff>0</xdr:rowOff>
    </xdr:to>
    <xdr:sp macro="[0]!Clear_All_Borrow" textlink="">
      <xdr:nvSpPr>
        <xdr:cNvPr id="15" name="Rounded Rectangle 14"/>
        <xdr:cNvSpPr/>
      </xdr:nvSpPr>
      <xdr:spPr>
        <a:xfrm>
          <a:off x="6762750" y="4238625"/>
          <a:ext cx="2600325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1233237</xdr:colOff>
      <xdr:row>2</xdr:row>
      <xdr:rowOff>40106</xdr:rowOff>
    </xdr:from>
    <xdr:to>
      <xdr:col>4</xdr:col>
      <xdr:colOff>0</xdr:colOff>
      <xdr:row>4</xdr:row>
      <xdr:rowOff>78206</xdr:rowOff>
    </xdr:to>
    <xdr:sp macro="" textlink="">
      <xdr:nvSpPr>
        <xdr:cNvPr id="2" name="Round Single Corner Rectangle 1"/>
        <xdr:cNvSpPr/>
      </xdr:nvSpPr>
      <xdr:spPr>
        <a:xfrm>
          <a:off x="3248526" y="421106"/>
          <a:ext cx="3830053" cy="419100"/>
        </a:xfrm>
        <a:prstGeom prst="round1Rect">
          <a:avLst/>
        </a:prstGeom>
        <a:solidFill>
          <a:schemeClr val="bg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 cap="none" spc="0">
              <a:ln w="18415" cmpd="sng">
                <a:solidFill>
                  <a:sysClr val="windowText" lastClr="000000"/>
                </a:solidFill>
                <a:prstDash val="solid"/>
              </a:ln>
              <a:solidFill>
                <a:schemeClr val="tx1"/>
              </a:solidFill>
              <a:effectLst/>
            </a:rPr>
            <a:t>Search For Students</a:t>
          </a:r>
        </a:p>
      </xdr:txBody>
    </xdr:sp>
    <xdr:clientData/>
  </xdr:twoCellAnchor>
  <xdr:twoCellAnchor editAs="oneCell">
    <xdr:from>
      <xdr:col>6</xdr:col>
      <xdr:colOff>704850</xdr:colOff>
      <xdr:row>15</xdr:row>
      <xdr:rowOff>9525</xdr:rowOff>
    </xdr:from>
    <xdr:to>
      <xdr:col>7</xdr:col>
      <xdr:colOff>361950</xdr:colOff>
      <xdr:row>17</xdr:row>
      <xdr:rowOff>180976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27" t="38764" r="6179" b="37079"/>
        <a:stretch/>
      </xdr:blipFill>
      <xdr:spPr>
        <a:xfrm>
          <a:off x="9153525" y="390525"/>
          <a:ext cx="1676400" cy="552451"/>
        </a:xfrm>
        <a:prstGeom prst="rect">
          <a:avLst/>
        </a:prstGeom>
      </xdr:spPr>
    </xdr:pic>
    <xdr:clientData/>
  </xdr:twoCellAnchor>
  <xdr:twoCellAnchor editAs="oneCell">
    <xdr:from>
      <xdr:col>1</xdr:col>
      <xdr:colOff>9526</xdr:colOff>
      <xdr:row>15</xdr:row>
      <xdr:rowOff>19051</xdr:rowOff>
    </xdr:from>
    <xdr:to>
      <xdr:col>1</xdr:col>
      <xdr:colOff>561976</xdr:colOff>
      <xdr:row>18</xdr:row>
      <xdr:rowOff>1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400051"/>
          <a:ext cx="552450" cy="552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1571625</xdr:colOff>
          <xdr:row>4</xdr:row>
          <xdr:rowOff>171450</xdr:rowOff>
        </xdr:from>
        <xdr:to>
          <xdr:col>3</xdr:col>
          <xdr:colOff>1914525</xdr:colOff>
          <xdr:row>6</xdr:row>
          <xdr:rowOff>28575</xdr:rowOff>
        </xdr:to>
        <xdr:sp macro="" textlink="">
          <xdr:nvSpPr>
            <xdr:cNvPr id="12293" name="TextBox1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4</xdr:row>
      <xdr:rowOff>114300</xdr:rowOff>
    </xdr:from>
    <xdr:to>
      <xdr:col>3</xdr:col>
      <xdr:colOff>628649</xdr:colOff>
      <xdr:row>7</xdr:row>
      <xdr:rowOff>161925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8325" y="876300"/>
          <a:ext cx="609599" cy="609600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600074</xdr:colOff>
      <xdr:row>6</xdr:row>
      <xdr:rowOff>19049</xdr:rowOff>
    </xdr:from>
    <xdr:to>
      <xdr:col>11</xdr:col>
      <xdr:colOff>0</xdr:colOff>
      <xdr:row>8</xdr:row>
      <xdr:rowOff>28574</xdr:rowOff>
    </xdr:to>
    <xdr:pic>
      <xdr:nvPicPr>
        <xdr:cNvPr id="11" name="Picture 10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03" t="37063" r="6180" b="38462"/>
        <a:stretch/>
      </xdr:blipFill>
      <xdr:spPr>
        <a:xfrm>
          <a:off x="8677274" y="904874"/>
          <a:ext cx="1247776" cy="6381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11</xdr:row>
      <xdr:rowOff>85725</xdr:rowOff>
    </xdr:from>
    <xdr:to>
      <xdr:col>10</xdr:col>
      <xdr:colOff>1390650</xdr:colOff>
      <xdr:row>13</xdr:row>
      <xdr:rowOff>19050</xdr:rowOff>
    </xdr:to>
    <xdr:sp macro="[0]!Insert" textlink="">
      <xdr:nvSpPr>
        <xdr:cNvPr id="12" name="Rounded Rectangle 11"/>
        <xdr:cNvSpPr/>
      </xdr:nvSpPr>
      <xdr:spPr>
        <a:xfrm>
          <a:off x="7048500" y="2533650"/>
          <a:ext cx="2419350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Return</a:t>
          </a:r>
        </a:p>
      </xdr:txBody>
    </xdr:sp>
    <xdr:clientData/>
  </xdr:twoCellAnchor>
  <xdr:twoCellAnchor>
    <xdr:from>
      <xdr:col>9</xdr:col>
      <xdr:colOff>85725</xdr:colOff>
      <xdr:row>13</xdr:row>
      <xdr:rowOff>190500</xdr:rowOff>
    </xdr:from>
    <xdr:to>
      <xdr:col>10</xdr:col>
      <xdr:colOff>1400175</xdr:colOff>
      <xdr:row>15</xdr:row>
      <xdr:rowOff>123825</xdr:rowOff>
    </xdr:to>
    <xdr:sp macro="[0]!Clear_All_Return" textlink="">
      <xdr:nvSpPr>
        <xdr:cNvPr id="13" name="Rounded Rectangle 12"/>
        <xdr:cNvSpPr/>
      </xdr:nvSpPr>
      <xdr:spPr>
        <a:xfrm>
          <a:off x="7086600" y="3114675"/>
          <a:ext cx="2390775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Clear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333375</xdr:colOff>
      <xdr:row>7</xdr:row>
      <xdr:rowOff>19049</xdr:rowOff>
    </xdr:from>
    <xdr:to>
      <xdr:col>10</xdr:col>
      <xdr:colOff>1428751</xdr:colOff>
      <xdr:row>8</xdr:row>
      <xdr:rowOff>123825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03" t="37063" r="6180" b="38462"/>
        <a:stretch/>
      </xdr:blipFill>
      <xdr:spPr>
        <a:xfrm>
          <a:off x="8477250" y="1352549"/>
          <a:ext cx="1095376" cy="533401"/>
        </a:xfrm>
        <a:prstGeom prst="rect">
          <a:avLst/>
        </a:prstGeom>
      </xdr:spPr>
    </xdr:pic>
    <xdr:clientData/>
  </xdr:twoCellAnchor>
  <xdr:twoCellAnchor>
    <xdr:from>
      <xdr:col>9</xdr:col>
      <xdr:colOff>38100</xdr:colOff>
      <xdr:row>16</xdr:row>
      <xdr:rowOff>180975</xdr:rowOff>
    </xdr:from>
    <xdr:to>
      <xdr:col>9</xdr:col>
      <xdr:colOff>1142998</xdr:colOff>
      <xdr:row>18</xdr:row>
      <xdr:rowOff>85725</xdr:rowOff>
    </xdr:to>
    <xdr:sp macro="[0]!Import" textlink="">
      <xdr:nvSpPr>
        <xdr:cNvPr id="3" name="Rounded Rectangle 2"/>
        <xdr:cNvSpPr/>
      </xdr:nvSpPr>
      <xdr:spPr>
        <a:xfrm>
          <a:off x="7496175" y="4019550"/>
          <a:ext cx="1104898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Import</a:t>
          </a:r>
        </a:p>
      </xdr:txBody>
    </xdr:sp>
    <xdr:clientData/>
  </xdr:twoCellAnchor>
  <xdr:twoCellAnchor>
    <xdr:from>
      <xdr:col>10</xdr:col>
      <xdr:colOff>38101</xdr:colOff>
      <xdr:row>16</xdr:row>
      <xdr:rowOff>161925</xdr:rowOff>
    </xdr:from>
    <xdr:to>
      <xdr:col>10</xdr:col>
      <xdr:colOff>1352550</xdr:colOff>
      <xdr:row>18</xdr:row>
      <xdr:rowOff>95250</xdr:rowOff>
    </xdr:to>
    <xdr:sp macro="[0]!Clear_All_Import" textlink="">
      <xdr:nvSpPr>
        <xdr:cNvPr id="4" name="Rounded Rectangle 3"/>
        <xdr:cNvSpPr/>
      </xdr:nvSpPr>
      <xdr:spPr>
        <a:xfrm>
          <a:off x="8734426" y="4000500"/>
          <a:ext cx="1314449" cy="4381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Clear All</a:t>
          </a:r>
        </a:p>
      </xdr:txBody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609599</xdr:colOff>
      <xdr:row>8</xdr:row>
      <xdr:rowOff>180975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333500"/>
          <a:ext cx="609599" cy="60960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123824</xdr:rowOff>
    </xdr:from>
    <xdr:to>
      <xdr:col>3</xdr:col>
      <xdr:colOff>561975</xdr:colOff>
      <xdr:row>8</xdr:row>
      <xdr:rowOff>180974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885824"/>
          <a:ext cx="561975" cy="542925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762000</xdr:colOff>
      <xdr:row>4</xdr:row>
      <xdr:rowOff>123824</xdr:rowOff>
    </xdr:from>
    <xdr:to>
      <xdr:col>11</xdr:col>
      <xdr:colOff>9526</xdr:colOff>
      <xdr:row>8</xdr:row>
      <xdr:rowOff>180974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03" t="37063" r="6180" b="38462"/>
        <a:stretch/>
      </xdr:blipFill>
      <xdr:spPr>
        <a:xfrm>
          <a:off x="8753475" y="885824"/>
          <a:ext cx="1257301" cy="542925"/>
        </a:xfrm>
        <a:prstGeom prst="rect">
          <a:avLst/>
        </a:prstGeom>
      </xdr:spPr>
    </xdr:pic>
    <xdr:clientData/>
  </xdr:twoCellAnchor>
  <xdr:twoCellAnchor>
    <xdr:from>
      <xdr:col>7</xdr:col>
      <xdr:colOff>104774</xdr:colOff>
      <xdr:row>19</xdr:row>
      <xdr:rowOff>85725</xdr:rowOff>
    </xdr:from>
    <xdr:to>
      <xdr:col>7</xdr:col>
      <xdr:colOff>1019175</xdr:colOff>
      <xdr:row>21</xdr:row>
      <xdr:rowOff>114300</xdr:rowOff>
    </xdr:to>
    <xdr:sp macro="[0]!save_staff" textlink="">
      <xdr:nvSpPr>
        <xdr:cNvPr id="8" name="Rounded Rectangle 7"/>
        <xdr:cNvSpPr/>
      </xdr:nvSpPr>
      <xdr:spPr>
        <a:xfrm>
          <a:off x="5210174" y="3962400"/>
          <a:ext cx="914401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Save</a:t>
          </a:r>
        </a:p>
        <a:p>
          <a:pPr algn="ctr"/>
          <a:endParaRPr lang="en-US" sz="2400" b="1"/>
        </a:p>
      </xdr:txBody>
    </xdr:sp>
    <xdr:clientData/>
  </xdr:twoCellAnchor>
  <xdr:twoCellAnchor>
    <xdr:from>
      <xdr:col>9</xdr:col>
      <xdr:colOff>914400</xdr:colOff>
      <xdr:row>16</xdr:row>
      <xdr:rowOff>114300</xdr:rowOff>
    </xdr:from>
    <xdr:to>
      <xdr:col>10</xdr:col>
      <xdr:colOff>752476</xdr:colOff>
      <xdr:row>18</xdr:row>
      <xdr:rowOff>142875</xdr:rowOff>
    </xdr:to>
    <xdr:sp macro="[0]!Clear_2nd_incharge" textlink="">
      <xdr:nvSpPr>
        <xdr:cNvPr id="9" name="Rounded Rectangle 8"/>
        <xdr:cNvSpPr/>
      </xdr:nvSpPr>
      <xdr:spPr>
        <a:xfrm>
          <a:off x="7667625" y="4381500"/>
          <a:ext cx="933451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Clear</a:t>
          </a:r>
        </a:p>
      </xdr:txBody>
    </xdr:sp>
    <xdr:clientData/>
  </xdr:twoCellAnchor>
  <xdr:twoCellAnchor>
    <xdr:from>
      <xdr:col>6</xdr:col>
      <xdr:colOff>638175</xdr:colOff>
      <xdr:row>16</xdr:row>
      <xdr:rowOff>123825</xdr:rowOff>
    </xdr:from>
    <xdr:to>
      <xdr:col>7</xdr:col>
      <xdr:colOff>952501</xdr:colOff>
      <xdr:row>18</xdr:row>
      <xdr:rowOff>152400</xdr:rowOff>
    </xdr:to>
    <xdr:sp macro="[0]!clear_Incharge" textlink="">
      <xdr:nvSpPr>
        <xdr:cNvPr id="11" name="Rounded Rectangle 10"/>
        <xdr:cNvSpPr/>
      </xdr:nvSpPr>
      <xdr:spPr>
        <a:xfrm>
          <a:off x="5010150" y="3438525"/>
          <a:ext cx="1047751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Clear</a:t>
          </a:r>
        </a:p>
      </xdr:txBody>
    </xdr:sp>
    <xdr:clientData/>
  </xdr:twoCellAnchor>
  <xdr:twoCellAnchor>
    <xdr:from>
      <xdr:col>3</xdr:col>
      <xdr:colOff>638175</xdr:colOff>
      <xdr:row>16</xdr:row>
      <xdr:rowOff>114300</xdr:rowOff>
    </xdr:from>
    <xdr:to>
      <xdr:col>4</xdr:col>
      <xdr:colOff>1000126</xdr:colOff>
      <xdr:row>18</xdr:row>
      <xdr:rowOff>142875</xdr:rowOff>
    </xdr:to>
    <xdr:sp macro="[0]!clear_librarian" textlink="">
      <xdr:nvSpPr>
        <xdr:cNvPr id="12" name="Rounded Rectangle 11"/>
        <xdr:cNvSpPr/>
      </xdr:nvSpPr>
      <xdr:spPr>
        <a:xfrm>
          <a:off x="2466975" y="3429000"/>
          <a:ext cx="1047751" cy="4095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Clear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704850</xdr:colOff>
      <xdr:row>2</xdr:row>
      <xdr:rowOff>9525</xdr:rowOff>
    </xdr:from>
    <xdr:to>
      <xdr:col>7</xdr:col>
      <xdr:colOff>619125</xdr:colOff>
      <xdr:row>4</xdr:row>
      <xdr:rowOff>180976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27" t="38764" r="6179" b="37079"/>
        <a:stretch/>
      </xdr:blipFill>
      <xdr:spPr>
        <a:xfrm>
          <a:off x="9286875" y="390525"/>
          <a:ext cx="1676400" cy="552451"/>
        </a:xfrm>
        <a:prstGeom prst="rect">
          <a:avLst/>
        </a:prstGeom>
      </xdr:spPr>
    </xdr:pic>
    <xdr:clientData/>
  </xdr:twoCellAnchor>
  <xdr:twoCellAnchor editAs="oneCell">
    <xdr:from>
      <xdr:col>1</xdr:col>
      <xdr:colOff>9526</xdr:colOff>
      <xdr:row>2</xdr:row>
      <xdr:rowOff>19051</xdr:rowOff>
    </xdr:from>
    <xdr:to>
      <xdr:col>1</xdr:col>
      <xdr:colOff>561976</xdr:colOff>
      <xdr:row>5</xdr:row>
      <xdr:rowOff>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6" y="400051"/>
          <a:ext cx="552450" cy="552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Data" displayName="Data" ref="B19:H147" totalsRowShown="0" headerRowDxfId="24" dataDxfId="23">
  <autoFilter ref="B19:H147"/>
  <tableColumns count="7">
    <tableColumn id="1" name="Students" dataDxfId="22"/>
    <tableColumn id="2" name="Books" dataDxfId="21"/>
    <tableColumn id="3" name="Author" dataDxfId="20"/>
    <tableColumn id="4" name="Class" dataDxfId="19"/>
    <tableColumn id="5" name="Issue Date" dataDxfId="18"/>
    <tableColumn id="6" name="Return Date" dataDxfId="17"/>
    <tableColumn id="7" name="Price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Database" displayName="Database" ref="B7:H142" totalsRowShown="0" headerRowDxfId="15" tableBorderDxfId="14">
  <autoFilter ref="B7:H142">
    <filterColumn colId="0">
      <customFilters>
        <customFilter val="*"/>
      </customFilters>
    </filterColumn>
  </autoFilter>
  <tableColumns count="7">
    <tableColumn id="1" name="Students"/>
    <tableColumn id="2" name="Books"/>
    <tableColumn id="3" name="Author"/>
    <tableColumn id="4" name="Class"/>
    <tableColumn id="5" name="Issue Date"/>
    <tableColumn id="6" name="Return Date"/>
    <tableColumn id="7" name="Pri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4:I7" insertRowShift="1" totalsRowShown="0" headerRowDxfId="13" dataDxfId="12" tableBorderDxfId="11">
  <autoFilter ref="B4:I7"/>
  <tableColumns count="8">
    <tableColumn id="1" name="Name" dataDxfId="10"/>
    <tableColumn id="2" name="Session" dataDxfId="9"/>
    <tableColumn id="3" name="In_Name" dataDxfId="8"/>
    <tableColumn id="4" name="In_Batch" dataDxfId="7"/>
    <tableColumn id="5" name="In_Session" dataDxfId="6"/>
    <tableColumn id="6" name="Name2" dataDxfId="5"/>
    <tableColumn id="7" name="Batch2" dataDxfId="4"/>
    <tableColumn id="8" name="Session3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B3:I10" totalsRowShown="0" headerRowDxfId="2">
  <autoFilter ref="B3:I10"/>
  <tableColumns count="8">
    <tableColumn id="1" name="Donater"/>
    <tableColumn id="2" name="Book Name"/>
    <tableColumn id="3" name="Author"/>
    <tableColumn id="4" name="Publication"/>
    <tableColumn id="13" name="Published Date"/>
    <tableColumn id="5" name="Donation Date"/>
    <tableColumn id="6" name="Edition"/>
    <tableColumn id="7" name="Pri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R39"/>
  <sheetViews>
    <sheetView zoomScale="70" zoomScaleNormal="70" workbookViewId="0">
      <selection activeCell="M27" sqref="M27"/>
    </sheetView>
  </sheetViews>
  <sheetFormatPr defaultRowHeight="15" x14ac:dyDescent="0.25"/>
  <cols>
    <col min="1" max="16384" width="9.140625" style="21"/>
  </cols>
  <sheetData>
    <row r="3" spans="2:18" ht="15.75" thickBot="1" x14ac:dyDescent="0.3"/>
    <row r="4" spans="2:18" ht="54.75" customHeight="1" x14ac:dyDescent="0.7">
      <c r="B4" s="77" t="s">
        <v>21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9"/>
    </row>
    <row r="5" spans="2:18" x14ac:dyDescent="0.25">
      <c r="B5" s="22"/>
      <c r="C5" s="23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3"/>
      <c r="Q5" s="23"/>
      <c r="R5" s="25"/>
    </row>
    <row r="6" spans="2:18" x14ac:dyDescent="0.25"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5"/>
    </row>
    <row r="7" spans="2:18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5"/>
    </row>
    <row r="8" spans="2:18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5"/>
    </row>
    <row r="9" spans="2:18" ht="15.75" x14ac:dyDescent="0.25">
      <c r="B9" s="22"/>
      <c r="C9" s="23"/>
      <c r="D9" s="23"/>
      <c r="E9" s="23"/>
      <c r="F9" s="26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5"/>
    </row>
    <row r="10" spans="2:18" x14ac:dyDescent="0.25"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5"/>
    </row>
    <row r="11" spans="2:18" x14ac:dyDescent="0.25"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5"/>
    </row>
    <row r="12" spans="2:18" x14ac:dyDescent="0.25">
      <c r="B12" s="2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5"/>
    </row>
    <row r="13" spans="2:18" x14ac:dyDescent="0.25"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5"/>
    </row>
    <row r="14" spans="2:18" x14ac:dyDescent="0.25">
      <c r="B14" s="22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5"/>
    </row>
    <row r="15" spans="2:18" x14ac:dyDescent="0.25">
      <c r="B15" s="22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5"/>
    </row>
    <row r="16" spans="2:18" x14ac:dyDescent="0.25">
      <c r="B16" s="2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5"/>
    </row>
    <row r="17" spans="2:18" x14ac:dyDescent="0.25">
      <c r="B17" s="22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5"/>
    </row>
    <row r="18" spans="2:18" x14ac:dyDescent="0.25">
      <c r="B18" s="22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5"/>
    </row>
    <row r="19" spans="2:18" x14ac:dyDescent="0.25"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5"/>
    </row>
    <row r="20" spans="2:18" x14ac:dyDescent="0.25"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5"/>
    </row>
    <row r="21" spans="2:18" x14ac:dyDescent="0.25"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5"/>
    </row>
    <row r="22" spans="2:18" x14ac:dyDescent="0.25"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5"/>
    </row>
    <row r="23" spans="2:18" x14ac:dyDescent="0.25">
      <c r="B23" s="22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5"/>
    </row>
    <row r="24" spans="2:18" x14ac:dyDescent="0.25"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5"/>
    </row>
    <row r="25" spans="2:18" x14ac:dyDescent="0.25"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5"/>
    </row>
    <row r="26" spans="2:18" x14ac:dyDescent="0.25">
      <c r="B26" s="22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5"/>
    </row>
    <row r="27" spans="2:18" x14ac:dyDescent="0.25">
      <c r="B27" s="22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5"/>
    </row>
    <row r="28" spans="2:18" x14ac:dyDescent="0.25">
      <c r="B28" s="22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5"/>
    </row>
    <row r="29" spans="2:18" x14ac:dyDescent="0.25">
      <c r="B29" s="22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5"/>
    </row>
    <row r="30" spans="2:18" x14ac:dyDescent="0.25">
      <c r="B30" s="22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5"/>
    </row>
    <row r="31" spans="2:18" x14ac:dyDescent="0.25"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5"/>
    </row>
    <row r="32" spans="2:18" x14ac:dyDescent="0.25">
      <c r="B32" s="22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5"/>
    </row>
    <row r="33" spans="2:18" x14ac:dyDescent="0.25">
      <c r="B33" s="22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5"/>
    </row>
    <row r="34" spans="2:18" x14ac:dyDescent="0.25">
      <c r="B34" s="22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5"/>
    </row>
    <row r="35" spans="2:18" x14ac:dyDescent="0.25">
      <c r="B35" s="22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5"/>
    </row>
    <row r="36" spans="2:18" x14ac:dyDescent="0.25">
      <c r="B36" s="22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5"/>
    </row>
    <row r="37" spans="2:18" x14ac:dyDescent="0.25">
      <c r="B37" s="22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5"/>
    </row>
    <row r="38" spans="2:18" x14ac:dyDescent="0.25">
      <c r="B38" s="22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5"/>
    </row>
    <row r="39" spans="2:18" ht="15.75" thickBot="1" x14ac:dyDescent="0.3">
      <c r="B39" s="27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9"/>
    </row>
  </sheetData>
  <mergeCells count="1">
    <mergeCell ref="B4:R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15"/>
  <sheetViews>
    <sheetView workbookViewId="0">
      <selection activeCell="F8" sqref="F8"/>
    </sheetView>
  </sheetViews>
  <sheetFormatPr defaultRowHeight="15" x14ac:dyDescent="0.25"/>
  <cols>
    <col min="1" max="1" width="22.7109375" style="16" customWidth="1"/>
    <col min="2" max="2" width="9.140625" style="16"/>
    <col min="3" max="3" width="26.85546875" style="16" customWidth="1"/>
    <col min="4" max="4" width="2.85546875" style="16" customWidth="1"/>
    <col min="5" max="5" width="10.42578125" style="16" customWidth="1"/>
    <col min="6" max="6" width="26.28515625" style="16" customWidth="1"/>
    <col min="7" max="7" width="3" style="16" customWidth="1"/>
    <col min="8" max="8" width="16.42578125" style="16" customWidth="1"/>
    <col min="9" max="9" width="26.85546875" style="16" customWidth="1"/>
    <col min="10" max="16384" width="9.140625" style="16"/>
  </cols>
  <sheetData>
    <row r="2" spans="2:9" ht="25.5" customHeight="1" x14ac:dyDescent="0.25"/>
    <row r="3" spans="2:9" ht="3" customHeight="1" x14ac:dyDescent="0.25"/>
    <row r="4" spans="2:9" x14ac:dyDescent="0.25">
      <c r="B4" s="83" t="s">
        <v>21</v>
      </c>
      <c r="C4" s="84"/>
      <c r="D4" s="84"/>
      <c r="E4" s="84"/>
      <c r="F4" s="84"/>
      <c r="G4" s="84"/>
      <c r="H4" s="84"/>
      <c r="I4" s="84"/>
    </row>
    <row r="5" spans="2:9" ht="30" customHeight="1" x14ac:dyDescent="0.25">
      <c r="B5" s="84"/>
      <c r="C5" s="84"/>
      <c r="D5" s="84"/>
      <c r="E5" s="84"/>
      <c r="F5" s="84"/>
      <c r="G5" s="84"/>
      <c r="H5" s="84"/>
      <c r="I5" s="84"/>
    </row>
    <row r="6" spans="2:9" ht="36" x14ac:dyDescent="0.55000000000000004">
      <c r="B6" s="80" t="s">
        <v>0</v>
      </c>
      <c r="C6" s="81"/>
      <c r="D6" s="12"/>
      <c r="E6" s="82" t="s">
        <v>3</v>
      </c>
      <c r="F6" s="81"/>
      <c r="G6" s="12"/>
      <c r="H6" s="82" t="s">
        <v>6</v>
      </c>
      <c r="I6" s="81"/>
    </row>
    <row r="7" spans="2:9" ht="15.75" thickBot="1" x14ac:dyDescent="0.3">
      <c r="B7" s="3"/>
      <c r="C7" s="2"/>
      <c r="D7" s="1"/>
      <c r="E7" s="1"/>
      <c r="F7" s="2"/>
      <c r="G7" s="1"/>
      <c r="H7" s="1"/>
      <c r="I7" s="2"/>
    </row>
    <row r="8" spans="2:9" ht="21.75" thickBot="1" x14ac:dyDescent="0.4">
      <c r="B8" s="17" t="s">
        <v>1</v>
      </c>
      <c r="C8" s="4" t="s">
        <v>123</v>
      </c>
      <c r="D8" s="1"/>
      <c r="E8" s="17" t="s">
        <v>1</v>
      </c>
      <c r="F8"/>
      <c r="G8" s="2"/>
      <c r="H8" s="18" t="s">
        <v>7</v>
      </c>
      <c r="I8" s="47">
        <v>45550.070022569445</v>
      </c>
    </row>
    <row r="9" spans="2:9" ht="15.75" thickBot="1" x14ac:dyDescent="0.3">
      <c r="B9" s="3"/>
      <c r="C9" s="2"/>
      <c r="D9" s="1"/>
      <c r="E9" s="1"/>
      <c r="F9" s="2"/>
      <c r="G9" s="1"/>
      <c r="H9" s="1"/>
      <c r="I9" s="2"/>
    </row>
    <row r="10" spans="2:9" ht="21.75" thickBot="1" x14ac:dyDescent="0.4">
      <c r="B10" s="17" t="s">
        <v>2</v>
      </c>
      <c r="C10" s="4" t="s">
        <v>29</v>
      </c>
      <c r="D10" s="1"/>
      <c r="E10" s="17" t="s">
        <v>4</v>
      </c>
      <c r="F10" s="4"/>
      <c r="G10" s="1"/>
      <c r="H10" s="1"/>
      <c r="I10" s="32"/>
    </row>
    <row r="11" spans="2:9" ht="15.75" thickBot="1" x14ac:dyDescent="0.3">
      <c r="B11" s="3"/>
      <c r="C11" s="8"/>
      <c r="D11" s="1"/>
      <c r="E11" s="1"/>
      <c r="F11" s="2"/>
      <c r="G11" s="1"/>
      <c r="H11" s="1"/>
      <c r="I11" s="2"/>
    </row>
    <row r="12" spans="2:9" ht="21.75" thickBot="1" x14ac:dyDescent="0.4">
      <c r="B12" s="3"/>
      <c r="C12" s="2"/>
      <c r="D12" s="1"/>
      <c r="E12" s="17" t="s">
        <v>5</v>
      </c>
      <c r="F12" s="4" t="s">
        <v>19</v>
      </c>
      <c r="G12" s="1"/>
      <c r="H12" s="1"/>
      <c r="I12" s="2"/>
    </row>
    <row r="13" spans="2:9" x14ac:dyDescent="0.25">
      <c r="B13" s="3"/>
      <c r="C13" s="2"/>
      <c r="D13" s="1"/>
      <c r="E13" s="1"/>
      <c r="F13" s="8"/>
      <c r="G13" s="1"/>
      <c r="H13" s="1"/>
      <c r="I13" s="2"/>
    </row>
    <row r="14" spans="2:9" x14ac:dyDescent="0.25">
      <c r="B14" s="3"/>
      <c r="C14" s="2"/>
      <c r="D14" s="1"/>
      <c r="E14" s="1"/>
      <c r="F14" s="2"/>
      <c r="G14" s="1"/>
      <c r="H14" s="1"/>
      <c r="I14" s="2"/>
    </row>
    <row r="15" spans="2:9" x14ac:dyDescent="0.25">
      <c r="B15" s="9"/>
      <c r="C15" s="10"/>
      <c r="D15" s="11"/>
      <c r="E15" s="11"/>
      <c r="F15" s="10"/>
      <c r="G15" s="11"/>
      <c r="H15" s="11"/>
      <c r="I15" s="10"/>
    </row>
  </sheetData>
  <dataConsolidate/>
  <mergeCells count="4">
    <mergeCell ref="B6:C6"/>
    <mergeCell ref="E6:F6"/>
    <mergeCell ref="H6:I6"/>
    <mergeCell ref="B4:I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'Helper Sheet'!$A$3:$A$8</xm:f>
          </x14:formula1>
          <xm:sqref>C10</xm:sqref>
        </x14:dataValidation>
        <x14:dataValidation type="list" allowBlank="1" showInputMessage="1" showErrorMessage="1">
          <x14:formula1>
            <xm:f>'Helper Sheet'!$B$3:$B$8</xm:f>
          </x14:formula1>
          <xm:sqref>F12</xm:sqref>
        </x14:dataValidation>
        <x14:dataValidation type="list" allowBlank="1" showInputMessage="1" showErrorMessage="1">
          <x14:formula1>
            <xm:f>'Helper Sheet'!$C$3</xm:f>
          </x14:formula1>
          <xm:sqref>I8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H147"/>
  <sheetViews>
    <sheetView showGridLines="0" tabSelected="1" zoomScale="95" zoomScaleNormal="95" workbookViewId="0">
      <selection activeCell="F6" sqref="F6"/>
    </sheetView>
  </sheetViews>
  <sheetFormatPr defaultRowHeight="15" x14ac:dyDescent="0.25"/>
  <cols>
    <col min="1" max="1" width="1.140625" style="21" customWidth="1"/>
    <col min="2" max="2" width="29" style="21" customWidth="1"/>
    <col min="3" max="3" width="44.5703125" style="21" customWidth="1"/>
    <col min="4" max="4" width="31.42578125" style="21" customWidth="1"/>
    <col min="5" max="5" width="11.7109375" style="21" customWidth="1"/>
    <col min="6" max="6" width="21.28515625" style="21" customWidth="1"/>
    <col min="7" max="7" width="24.140625" style="21" customWidth="1"/>
    <col min="8" max="8" width="11.5703125" style="21" customWidth="1"/>
    <col min="9" max="16384" width="9.140625" style="21"/>
  </cols>
  <sheetData>
    <row r="1" spans="2:8" x14ac:dyDescent="0.25">
      <c r="C1" s="21" t="s">
        <v>114</v>
      </c>
    </row>
    <row r="7" spans="2:8" ht="14.25" customHeight="1" x14ac:dyDescent="0.25"/>
    <row r="8" spans="2:8" ht="8.25" hidden="1" customHeight="1" x14ac:dyDescent="0.25"/>
    <row r="9" spans="2:8" hidden="1" x14ac:dyDescent="0.25"/>
    <row r="10" spans="2:8" hidden="1" x14ac:dyDescent="0.25"/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t="15" customHeight="1" x14ac:dyDescent="0.25">
      <c r="B16" s="85" t="s">
        <v>21</v>
      </c>
      <c r="C16" s="86"/>
      <c r="D16" s="86"/>
      <c r="E16" s="86"/>
      <c r="F16" s="86"/>
      <c r="G16" s="86"/>
      <c r="H16" s="87"/>
    </row>
    <row r="17" spans="2:8" x14ac:dyDescent="0.25">
      <c r="B17" s="88"/>
      <c r="C17" s="89"/>
      <c r="D17" s="89"/>
      <c r="E17" s="89"/>
      <c r="F17" s="89"/>
      <c r="G17" s="89"/>
      <c r="H17" s="90"/>
    </row>
    <row r="18" spans="2:8" x14ac:dyDescent="0.25">
      <c r="B18" s="88"/>
      <c r="C18" s="89"/>
      <c r="D18" s="89"/>
      <c r="E18" s="89"/>
      <c r="F18" s="89"/>
      <c r="G18" s="89"/>
      <c r="H18" s="90"/>
    </row>
    <row r="19" spans="2:8" ht="28.5" x14ac:dyDescent="0.45">
      <c r="B19" s="66" t="s">
        <v>22</v>
      </c>
      <c r="C19" s="66" t="s">
        <v>23</v>
      </c>
      <c r="D19" s="67" t="s">
        <v>4</v>
      </c>
      <c r="E19" s="66" t="s">
        <v>2</v>
      </c>
      <c r="F19" s="68" t="s">
        <v>7</v>
      </c>
      <c r="G19" s="68" t="s">
        <v>8</v>
      </c>
      <c r="H19" s="66" t="s">
        <v>5</v>
      </c>
    </row>
    <row r="20" spans="2:8" ht="15.75" customHeight="1" x14ac:dyDescent="0.25">
      <c r="B20" s="74" t="s">
        <v>123</v>
      </c>
      <c r="C20" s="74">
        <v>0</v>
      </c>
      <c r="D20" s="74">
        <v>0</v>
      </c>
      <c r="E20" s="74" t="s">
        <v>29</v>
      </c>
      <c r="F20" s="75">
        <v>45550.070022569445</v>
      </c>
      <c r="G20" s="75"/>
      <c r="H20" s="74" t="s">
        <v>18</v>
      </c>
    </row>
    <row r="21" spans="2:8" ht="15.75" customHeight="1" x14ac:dyDescent="0.25">
      <c r="B21" s="74" t="s">
        <v>118</v>
      </c>
      <c r="C21" s="74">
        <v>0</v>
      </c>
      <c r="D21" s="74">
        <v>0</v>
      </c>
      <c r="E21" s="74" t="s">
        <v>29</v>
      </c>
      <c r="F21" s="75">
        <v>0</v>
      </c>
      <c r="G21" s="75"/>
      <c r="H21" s="74" t="s">
        <v>18</v>
      </c>
    </row>
    <row r="22" spans="2:8" ht="15.75" customHeight="1" x14ac:dyDescent="0.25">
      <c r="B22" s="74" t="s">
        <v>118</v>
      </c>
      <c r="C22" s="74">
        <v>0</v>
      </c>
      <c r="D22" s="74">
        <v>0</v>
      </c>
      <c r="E22" s="74" t="s">
        <v>29</v>
      </c>
      <c r="F22" s="75">
        <v>0</v>
      </c>
      <c r="G22" s="75"/>
      <c r="H22" s="74" t="s">
        <v>18</v>
      </c>
    </row>
    <row r="23" spans="2:8" ht="15.75" customHeight="1" x14ac:dyDescent="0.25">
      <c r="B23" s="74" t="s">
        <v>118</v>
      </c>
      <c r="C23" s="74">
        <v>0</v>
      </c>
      <c r="D23" s="74">
        <v>0</v>
      </c>
      <c r="E23" s="74" t="s">
        <v>29</v>
      </c>
      <c r="F23" s="75">
        <v>0</v>
      </c>
      <c r="G23" s="75"/>
      <c r="H23" s="74" t="s">
        <v>18</v>
      </c>
    </row>
    <row r="24" spans="2:8" ht="15.75" customHeight="1" x14ac:dyDescent="0.25">
      <c r="B24" s="74" t="s">
        <v>118</v>
      </c>
      <c r="C24" s="74">
        <v>0</v>
      </c>
      <c r="D24" s="74">
        <v>0</v>
      </c>
      <c r="E24" s="74" t="s">
        <v>29</v>
      </c>
      <c r="F24" s="75">
        <v>0</v>
      </c>
      <c r="G24" s="75"/>
      <c r="H24" s="74" t="s">
        <v>18</v>
      </c>
    </row>
    <row r="25" spans="2:8" ht="15.75" customHeight="1" x14ac:dyDescent="0.25">
      <c r="B25" s="74" t="s">
        <v>118</v>
      </c>
      <c r="C25" s="74">
        <v>0</v>
      </c>
      <c r="D25" s="74">
        <v>0</v>
      </c>
      <c r="E25" s="74" t="s">
        <v>29</v>
      </c>
      <c r="F25" s="75">
        <v>0</v>
      </c>
      <c r="G25" s="75"/>
      <c r="H25" s="74" t="s">
        <v>18</v>
      </c>
    </row>
    <row r="26" spans="2:8" ht="15.75" customHeight="1" x14ac:dyDescent="0.25">
      <c r="B26" s="74" t="s">
        <v>118</v>
      </c>
      <c r="C26" s="74">
        <v>0</v>
      </c>
      <c r="D26" s="74">
        <v>0</v>
      </c>
      <c r="E26" s="74" t="s">
        <v>29</v>
      </c>
      <c r="F26" s="75">
        <v>0</v>
      </c>
      <c r="G26" s="75"/>
      <c r="H26" s="74" t="s">
        <v>18</v>
      </c>
    </row>
    <row r="27" spans="2:8" ht="15.75" customHeight="1" x14ac:dyDescent="0.25">
      <c r="B27" s="74" t="s">
        <v>118</v>
      </c>
      <c r="C27" s="74">
        <v>0</v>
      </c>
      <c r="D27" s="74">
        <v>0</v>
      </c>
      <c r="E27" s="74" t="s">
        <v>29</v>
      </c>
      <c r="F27" s="75">
        <v>0</v>
      </c>
      <c r="G27" s="75"/>
      <c r="H27" s="74" t="s">
        <v>18</v>
      </c>
    </row>
    <row r="28" spans="2:8" ht="15.75" customHeight="1" x14ac:dyDescent="0.25">
      <c r="B28" s="74" t="s">
        <v>118</v>
      </c>
      <c r="C28" s="74">
        <v>0</v>
      </c>
      <c r="D28" s="74">
        <v>0</v>
      </c>
      <c r="E28" s="74" t="s">
        <v>29</v>
      </c>
      <c r="F28" s="75">
        <v>0</v>
      </c>
      <c r="G28" s="75"/>
      <c r="H28" s="74" t="s">
        <v>18</v>
      </c>
    </row>
    <row r="29" spans="2:8" ht="15.75" customHeight="1" x14ac:dyDescent="0.25">
      <c r="B29" s="74" t="s">
        <v>118</v>
      </c>
      <c r="C29" s="74">
        <v>0</v>
      </c>
      <c r="D29" s="74">
        <v>0</v>
      </c>
      <c r="E29" s="74" t="s">
        <v>29</v>
      </c>
      <c r="F29" s="75">
        <v>0</v>
      </c>
      <c r="G29" s="75">
        <v>2498</v>
      </c>
      <c r="H29" s="74" t="s">
        <v>18</v>
      </c>
    </row>
    <row r="30" spans="2:8" ht="15.75" customHeight="1" x14ac:dyDescent="0.25">
      <c r="B30" s="74" t="s">
        <v>118</v>
      </c>
      <c r="C30" s="74">
        <v>0</v>
      </c>
      <c r="D30" s="74">
        <v>0</v>
      </c>
      <c r="E30" s="74" t="s">
        <v>29</v>
      </c>
      <c r="F30" s="75">
        <v>0</v>
      </c>
      <c r="G30" s="75">
        <v>2499</v>
      </c>
      <c r="H30" s="74" t="s">
        <v>18</v>
      </c>
    </row>
    <row r="31" spans="2:8" ht="15.75" customHeight="1" x14ac:dyDescent="0.25">
      <c r="B31" s="74" t="s">
        <v>118</v>
      </c>
      <c r="C31" s="74" t="s">
        <v>119</v>
      </c>
      <c r="D31" s="74" t="s">
        <v>120</v>
      </c>
      <c r="E31" s="74" t="s">
        <v>29</v>
      </c>
      <c r="F31" s="75">
        <v>0</v>
      </c>
      <c r="G31" s="75">
        <v>2500</v>
      </c>
      <c r="H31" s="74" t="s">
        <v>18</v>
      </c>
    </row>
    <row r="32" spans="2:8" ht="15.75" customHeight="1" x14ac:dyDescent="0.25">
      <c r="B32" s="74" t="s">
        <v>36</v>
      </c>
      <c r="C32" s="74">
        <v>0</v>
      </c>
      <c r="D32" s="74">
        <v>0</v>
      </c>
      <c r="E32" s="74" t="s">
        <v>115</v>
      </c>
      <c r="F32" s="75">
        <v>0</v>
      </c>
      <c r="G32" s="75">
        <v>2501</v>
      </c>
      <c r="H32" s="74" t="s">
        <v>18</v>
      </c>
    </row>
    <row r="33" spans="2:8" ht="15.75" customHeight="1" x14ac:dyDescent="0.25">
      <c r="B33" s="74" t="s">
        <v>36</v>
      </c>
      <c r="C33" s="74">
        <v>0</v>
      </c>
      <c r="D33" s="74">
        <v>0</v>
      </c>
      <c r="E33" s="74" t="s">
        <v>115</v>
      </c>
      <c r="F33" s="75">
        <v>0</v>
      </c>
      <c r="G33" s="75">
        <v>2502</v>
      </c>
      <c r="H33" s="74" t="s">
        <v>18</v>
      </c>
    </row>
    <row r="34" spans="2:8" ht="15.75" customHeight="1" x14ac:dyDescent="0.25">
      <c r="B34" s="74" t="s">
        <v>36</v>
      </c>
      <c r="C34" s="74">
        <v>0</v>
      </c>
      <c r="D34" s="74">
        <v>0</v>
      </c>
      <c r="E34" s="74" t="s">
        <v>115</v>
      </c>
      <c r="F34" s="75">
        <v>0</v>
      </c>
      <c r="G34" s="75">
        <v>2503</v>
      </c>
      <c r="H34" s="74" t="s">
        <v>18</v>
      </c>
    </row>
    <row r="35" spans="2:8" ht="15.75" customHeight="1" x14ac:dyDescent="0.25">
      <c r="B35" s="74" t="s">
        <v>36</v>
      </c>
      <c r="C35" s="74"/>
      <c r="D35" s="74">
        <v>0</v>
      </c>
      <c r="E35" s="74" t="s">
        <v>115</v>
      </c>
      <c r="F35" s="75">
        <v>0</v>
      </c>
      <c r="G35" s="75">
        <v>2504</v>
      </c>
      <c r="H35" s="74" t="s">
        <v>18</v>
      </c>
    </row>
    <row r="36" spans="2:8" ht="15.75" customHeight="1" x14ac:dyDescent="0.25">
      <c r="B36" s="74" t="s">
        <v>36</v>
      </c>
      <c r="C36" s="74">
        <v>0</v>
      </c>
      <c r="D36" s="74">
        <v>0</v>
      </c>
      <c r="E36" s="74" t="s">
        <v>115</v>
      </c>
      <c r="F36" s="75" t="s">
        <v>121</v>
      </c>
      <c r="G36" s="75">
        <v>2505</v>
      </c>
      <c r="H36" s="74" t="s">
        <v>18</v>
      </c>
    </row>
    <row r="37" spans="2:8" ht="15.75" customHeight="1" x14ac:dyDescent="0.25">
      <c r="B37" s="74" t="s">
        <v>36</v>
      </c>
      <c r="C37" s="74">
        <v>0</v>
      </c>
      <c r="D37" s="74">
        <v>0</v>
      </c>
      <c r="E37" s="74" t="s">
        <v>115</v>
      </c>
      <c r="F37" s="75" t="s">
        <v>122</v>
      </c>
      <c r="G37" s="75">
        <v>2506</v>
      </c>
      <c r="H37" s="74" t="s">
        <v>18</v>
      </c>
    </row>
    <row r="38" spans="2:8" ht="15.75" customHeight="1" x14ac:dyDescent="0.25">
      <c r="B38" s="74" t="s">
        <v>36</v>
      </c>
      <c r="C38" s="74">
        <v>0</v>
      </c>
      <c r="D38" s="74">
        <v>0</v>
      </c>
      <c r="E38" s="74" t="s">
        <v>115</v>
      </c>
      <c r="F38" s="75">
        <v>0</v>
      </c>
      <c r="G38" s="75">
        <v>2507</v>
      </c>
      <c r="H38" s="74" t="s">
        <v>18</v>
      </c>
    </row>
    <row r="39" spans="2:8" ht="15.75" customHeight="1" x14ac:dyDescent="0.25">
      <c r="B39" s="74" t="s">
        <v>36</v>
      </c>
      <c r="C39" s="74">
        <v>0</v>
      </c>
      <c r="D39" s="74">
        <v>0</v>
      </c>
      <c r="E39" s="74" t="s">
        <v>115</v>
      </c>
      <c r="F39" s="75">
        <v>0</v>
      </c>
      <c r="G39" s="75">
        <v>2508</v>
      </c>
      <c r="H39" s="74" t="s">
        <v>18</v>
      </c>
    </row>
    <row r="40" spans="2:8" ht="15.75" customHeight="1" x14ac:dyDescent="0.25">
      <c r="B40" s="74" t="s">
        <v>36</v>
      </c>
      <c r="C40" s="74">
        <v>0</v>
      </c>
      <c r="D40" s="74">
        <v>0</v>
      </c>
      <c r="E40" s="74" t="s">
        <v>115</v>
      </c>
      <c r="F40" s="75">
        <v>0</v>
      </c>
      <c r="G40" s="75">
        <v>2509</v>
      </c>
      <c r="H40" s="74" t="s">
        <v>18</v>
      </c>
    </row>
    <row r="41" spans="2:8" ht="15.75" customHeight="1" x14ac:dyDescent="0.25">
      <c r="B41" s="69" t="s">
        <v>36</v>
      </c>
      <c r="C41" s="69">
        <v>0</v>
      </c>
      <c r="D41" s="69">
        <v>0</v>
      </c>
      <c r="E41" s="69" t="s">
        <v>115</v>
      </c>
      <c r="F41" s="70">
        <v>0</v>
      </c>
      <c r="G41" s="75">
        <v>2510</v>
      </c>
      <c r="H41" s="69" t="s">
        <v>18</v>
      </c>
    </row>
    <row r="42" spans="2:8" ht="15.75" customHeight="1" x14ac:dyDescent="0.25">
      <c r="B42" s="69" t="s">
        <v>36</v>
      </c>
      <c r="C42" s="69">
        <v>0</v>
      </c>
      <c r="D42" s="69">
        <v>0</v>
      </c>
      <c r="E42" s="69" t="s">
        <v>115</v>
      </c>
      <c r="F42" s="70">
        <v>0</v>
      </c>
      <c r="G42" s="75">
        <v>2511</v>
      </c>
      <c r="H42" s="69" t="s">
        <v>18</v>
      </c>
    </row>
    <row r="43" spans="2:8" ht="15.75" customHeight="1" x14ac:dyDescent="0.25">
      <c r="B43" s="69" t="s">
        <v>36</v>
      </c>
      <c r="C43" s="69">
        <v>0</v>
      </c>
      <c r="D43" s="69">
        <v>0</v>
      </c>
      <c r="E43" s="69" t="s">
        <v>115</v>
      </c>
      <c r="F43" s="70">
        <v>0</v>
      </c>
      <c r="G43" s="75">
        <v>2512</v>
      </c>
      <c r="H43" s="69" t="s">
        <v>18</v>
      </c>
    </row>
    <row r="44" spans="2:8" ht="15.75" customHeight="1" x14ac:dyDescent="0.25">
      <c r="B44" s="69" t="s">
        <v>36</v>
      </c>
      <c r="C44" s="69">
        <v>0</v>
      </c>
      <c r="D44" s="69">
        <v>0</v>
      </c>
      <c r="E44" s="69" t="s">
        <v>115</v>
      </c>
      <c r="F44" s="70">
        <v>0</v>
      </c>
      <c r="G44" s="75">
        <v>2513</v>
      </c>
      <c r="H44" s="69" t="s">
        <v>18</v>
      </c>
    </row>
    <row r="45" spans="2:8" ht="15.75" customHeight="1" x14ac:dyDescent="0.25">
      <c r="B45" s="69" t="s">
        <v>36</v>
      </c>
      <c r="C45" s="69">
        <v>0</v>
      </c>
      <c r="D45" s="69">
        <v>0</v>
      </c>
      <c r="E45" s="69" t="s">
        <v>115</v>
      </c>
      <c r="F45" s="70">
        <v>0</v>
      </c>
      <c r="G45" s="75">
        <v>2514</v>
      </c>
      <c r="H45" s="69" t="s">
        <v>18</v>
      </c>
    </row>
    <row r="46" spans="2:8" ht="15.75" customHeight="1" x14ac:dyDescent="0.25">
      <c r="B46" s="69" t="s">
        <v>36</v>
      </c>
      <c r="C46" s="69" t="s">
        <v>116</v>
      </c>
      <c r="D46" s="69" t="s">
        <v>117</v>
      </c>
      <c r="E46" s="69" t="s">
        <v>115</v>
      </c>
      <c r="F46" s="70">
        <v>0</v>
      </c>
      <c r="G46" s="75">
        <v>2515</v>
      </c>
      <c r="H46" s="69" t="s">
        <v>18</v>
      </c>
    </row>
    <row r="47" spans="2:8" customFormat="1" ht="15.75" customHeight="1" x14ac:dyDescent="0.25">
      <c r="B47" s="48">
        <v>0</v>
      </c>
      <c r="C47" s="48">
        <v>0</v>
      </c>
      <c r="D47" s="49">
        <v>0</v>
      </c>
      <c r="E47" s="48">
        <v>0</v>
      </c>
      <c r="F47" s="50">
        <v>0</v>
      </c>
      <c r="G47" s="75">
        <v>2516</v>
      </c>
      <c r="H47" s="48">
        <v>0</v>
      </c>
    </row>
    <row r="48" spans="2:8" customFormat="1" ht="15" customHeight="1" x14ac:dyDescent="0.45">
      <c r="B48" s="48"/>
      <c r="C48" s="13"/>
      <c r="D48" s="14"/>
      <c r="E48" s="13"/>
      <c r="F48" s="51"/>
      <c r="G48" s="75">
        <v>2517</v>
      </c>
      <c r="H48" s="13"/>
    </row>
    <row r="49" spans="2:8" x14ac:dyDescent="0.25">
      <c r="B49" s="69" t="s">
        <v>28</v>
      </c>
      <c r="C49" s="69">
        <v>0</v>
      </c>
      <c r="D49" s="71">
        <v>0</v>
      </c>
      <c r="E49" s="69" t="s">
        <v>29</v>
      </c>
      <c r="F49" s="70">
        <v>0</v>
      </c>
      <c r="G49" s="75">
        <v>2518</v>
      </c>
      <c r="H49" s="69" t="s">
        <v>17</v>
      </c>
    </row>
    <row r="50" spans="2:8" x14ac:dyDescent="0.25">
      <c r="B50" s="69" t="s">
        <v>28</v>
      </c>
      <c r="C50" s="69" t="s">
        <v>90</v>
      </c>
      <c r="D50" s="71" t="s">
        <v>110</v>
      </c>
      <c r="E50" s="69" t="s">
        <v>29</v>
      </c>
      <c r="F50" s="70">
        <v>0</v>
      </c>
      <c r="G50" s="75">
        <v>2519</v>
      </c>
      <c r="H50" s="69" t="s">
        <v>17</v>
      </c>
    </row>
    <row r="51" spans="2:8" x14ac:dyDescent="0.25">
      <c r="B51" s="69" t="s">
        <v>28</v>
      </c>
      <c r="C51" s="69" t="s">
        <v>103</v>
      </c>
      <c r="D51" s="71" t="s">
        <v>104</v>
      </c>
      <c r="E51" s="69" t="s">
        <v>29</v>
      </c>
      <c r="F51" s="70">
        <v>0</v>
      </c>
      <c r="G51" s="75">
        <v>2520</v>
      </c>
      <c r="H51" s="69" t="s">
        <v>20</v>
      </c>
    </row>
    <row r="52" spans="2:8" x14ac:dyDescent="0.25">
      <c r="B52" s="69" t="s">
        <v>28</v>
      </c>
      <c r="C52" s="69" t="s">
        <v>101</v>
      </c>
      <c r="D52" s="71" t="s">
        <v>102</v>
      </c>
      <c r="E52" s="69" t="s">
        <v>29</v>
      </c>
      <c r="F52" s="70">
        <v>0</v>
      </c>
      <c r="G52" s="75">
        <v>2521</v>
      </c>
      <c r="H52" s="69" t="s">
        <v>16</v>
      </c>
    </row>
    <row r="53" spans="2:8" x14ac:dyDescent="0.25">
      <c r="B53" s="69" t="s">
        <v>28</v>
      </c>
      <c r="C53" s="69" t="s">
        <v>98</v>
      </c>
      <c r="D53" s="71" t="s">
        <v>100</v>
      </c>
      <c r="E53" s="69" t="s">
        <v>29</v>
      </c>
      <c r="F53" s="70">
        <v>0</v>
      </c>
      <c r="G53" s="75">
        <v>2522</v>
      </c>
      <c r="H53" s="69" t="s">
        <v>16</v>
      </c>
    </row>
    <row r="54" spans="2:8" x14ac:dyDescent="0.25">
      <c r="B54" s="69" t="s">
        <v>28</v>
      </c>
      <c r="C54" s="69">
        <v>0</v>
      </c>
      <c r="D54" s="71">
        <v>0</v>
      </c>
      <c r="E54" s="69" t="s">
        <v>29</v>
      </c>
      <c r="F54" s="70">
        <v>0</v>
      </c>
      <c r="G54" s="75">
        <v>2523</v>
      </c>
      <c r="H54" s="69" t="s">
        <v>16</v>
      </c>
    </row>
    <row r="55" spans="2:8" x14ac:dyDescent="0.25">
      <c r="B55" s="69" t="s">
        <v>28</v>
      </c>
      <c r="C55" s="69">
        <v>0</v>
      </c>
      <c r="D55" s="71">
        <v>0</v>
      </c>
      <c r="E55" s="69" t="s">
        <v>29</v>
      </c>
      <c r="F55" s="70">
        <v>0</v>
      </c>
      <c r="G55" s="75">
        <v>2524</v>
      </c>
      <c r="H55" s="72" t="e">
        <f>'Borrow Form'!#REF!</f>
        <v>#REF!</v>
      </c>
    </row>
    <row r="56" spans="2:8" x14ac:dyDescent="0.25">
      <c r="B56" s="69" t="s">
        <v>28</v>
      </c>
      <c r="C56" s="69">
        <v>0</v>
      </c>
      <c r="D56" s="71">
        <v>0</v>
      </c>
      <c r="E56" s="69" t="s">
        <v>29</v>
      </c>
      <c r="F56" s="70">
        <v>0</v>
      </c>
      <c r="G56" s="75">
        <v>2525</v>
      </c>
      <c r="H56" s="72" t="e">
        <f>'Borrow Form'!#REF!</f>
        <v>#REF!</v>
      </c>
    </row>
    <row r="57" spans="2:8" x14ac:dyDescent="0.25">
      <c r="B57" s="69" t="s">
        <v>28</v>
      </c>
      <c r="C57" s="69">
        <v>0</v>
      </c>
      <c r="D57" s="71">
        <v>0</v>
      </c>
      <c r="E57" s="69" t="s">
        <v>29</v>
      </c>
      <c r="F57" s="70">
        <v>0</v>
      </c>
      <c r="G57" s="75">
        <v>2526</v>
      </c>
      <c r="H57" s="72" t="e">
        <f>'Borrow Form'!#REF!</f>
        <v>#REF!</v>
      </c>
    </row>
    <row r="58" spans="2:8" x14ac:dyDescent="0.25">
      <c r="B58" s="69" t="s">
        <v>28</v>
      </c>
      <c r="C58" s="69" t="s">
        <v>98</v>
      </c>
      <c r="D58" s="71" t="s">
        <v>99</v>
      </c>
      <c r="E58" s="69" t="s">
        <v>29</v>
      </c>
      <c r="F58" s="70">
        <v>0</v>
      </c>
      <c r="G58" s="75">
        <v>2527</v>
      </c>
      <c r="H58" s="72" t="e">
        <f>'Borrow Form'!#REF!</f>
        <v>#REF!</v>
      </c>
    </row>
    <row r="59" spans="2:8" x14ac:dyDescent="0.25">
      <c r="B59" s="69" t="s">
        <v>28</v>
      </c>
      <c r="C59" s="69" t="s">
        <v>96</v>
      </c>
      <c r="D59" s="71" t="s">
        <v>97</v>
      </c>
      <c r="E59" s="69" t="s">
        <v>29</v>
      </c>
      <c r="F59" s="70">
        <v>0</v>
      </c>
      <c r="G59" s="75">
        <v>2528</v>
      </c>
      <c r="H59" s="72">
        <f>D17</f>
        <v>0</v>
      </c>
    </row>
    <row r="60" spans="2:8" x14ac:dyDescent="0.25">
      <c r="B60" s="69" t="s">
        <v>28</v>
      </c>
      <c r="C60" s="69" t="s">
        <v>94</v>
      </c>
      <c r="D60" s="71" t="s">
        <v>95</v>
      </c>
      <c r="E60" s="69" t="s">
        <v>29</v>
      </c>
      <c r="F60" s="70">
        <v>0</v>
      </c>
      <c r="G60" s="75">
        <v>2529</v>
      </c>
      <c r="H60" s="72">
        <f>D17</f>
        <v>0</v>
      </c>
    </row>
    <row r="61" spans="2:8" x14ac:dyDescent="0.25">
      <c r="B61" s="69" t="s">
        <v>28</v>
      </c>
      <c r="C61" s="69" t="s">
        <v>92</v>
      </c>
      <c r="D61" s="71" t="s">
        <v>93</v>
      </c>
      <c r="E61" s="69" t="s">
        <v>29</v>
      </c>
      <c r="F61" s="70">
        <v>0</v>
      </c>
      <c r="G61" s="75">
        <v>2530</v>
      </c>
      <c r="H61" s="72">
        <f>D17</f>
        <v>0</v>
      </c>
    </row>
    <row r="62" spans="2:8" x14ac:dyDescent="0.25">
      <c r="B62" s="69" t="s">
        <v>28</v>
      </c>
      <c r="C62" s="69" t="s">
        <v>90</v>
      </c>
      <c r="D62" s="71" t="s">
        <v>91</v>
      </c>
      <c r="E62" s="69" t="s">
        <v>29</v>
      </c>
      <c r="F62" s="70">
        <v>45542.033618518515</v>
      </c>
      <c r="G62" s="75">
        <v>2531</v>
      </c>
      <c r="H62" s="72" t="s">
        <v>16</v>
      </c>
    </row>
    <row r="63" spans="2:8" x14ac:dyDescent="0.25">
      <c r="B63" s="69" t="s">
        <v>28</v>
      </c>
      <c r="C63" s="69" t="s">
        <v>90</v>
      </c>
      <c r="D63" s="71" t="s">
        <v>91</v>
      </c>
      <c r="E63" s="69" t="s">
        <v>29</v>
      </c>
      <c r="F63" s="70">
        <v>45542.033618518515</v>
      </c>
      <c r="G63" s="75">
        <v>2532</v>
      </c>
      <c r="H63" s="72" t="s">
        <v>16</v>
      </c>
    </row>
    <row r="64" spans="2:8" x14ac:dyDescent="0.25">
      <c r="B64" s="69" t="s">
        <v>28</v>
      </c>
      <c r="C64" s="69" t="s">
        <v>90</v>
      </c>
      <c r="D64" s="71" t="s">
        <v>91</v>
      </c>
      <c r="E64" s="69" t="s">
        <v>29</v>
      </c>
      <c r="F64" s="70">
        <v>45542.033618518515</v>
      </c>
      <c r="G64" s="75">
        <v>2533</v>
      </c>
      <c r="H64" s="72" t="s">
        <v>16</v>
      </c>
    </row>
    <row r="65" spans="2:8" x14ac:dyDescent="0.25">
      <c r="B65" s="69" t="s">
        <v>28</v>
      </c>
      <c r="C65" s="69" t="s">
        <v>90</v>
      </c>
      <c r="D65" s="71" t="s">
        <v>91</v>
      </c>
      <c r="E65" s="69" t="s">
        <v>29</v>
      </c>
      <c r="F65" s="70">
        <v>45542.033618518515</v>
      </c>
      <c r="G65" s="75">
        <v>2534</v>
      </c>
      <c r="H65" s="72" t="s">
        <v>16</v>
      </c>
    </row>
    <row r="66" spans="2:8" x14ac:dyDescent="0.25">
      <c r="B66" s="69" t="s">
        <v>28</v>
      </c>
      <c r="C66" s="69" t="s">
        <v>90</v>
      </c>
      <c r="D66" s="71" t="s">
        <v>91</v>
      </c>
      <c r="E66" s="69" t="s">
        <v>29</v>
      </c>
      <c r="F66" s="70">
        <v>45542.033618518515</v>
      </c>
      <c r="G66" s="75">
        <v>2535</v>
      </c>
      <c r="H66" s="72" t="s">
        <v>16</v>
      </c>
    </row>
    <row r="67" spans="2:8" x14ac:dyDescent="0.25">
      <c r="B67" s="69" t="s">
        <v>28</v>
      </c>
      <c r="C67" s="69" t="s">
        <v>90</v>
      </c>
      <c r="D67" s="71" t="s">
        <v>91</v>
      </c>
      <c r="E67" s="69" t="s">
        <v>29</v>
      </c>
      <c r="F67" s="70">
        <v>45542.033618518515</v>
      </c>
      <c r="G67" s="75">
        <v>2536</v>
      </c>
      <c r="H67" s="72" t="s">
        <v>16</v>
      </c>
    </row>
    <row r="68" spans="2:8" x14ac:dyDescent="0.25">
      <c r="B68" s="69" t="s">
        <v>28</v>
      </c>
      <c r="C68" s="69" t="s">
        <v>90</v>
      </c>
      <c r="D68" s="71" t="s">
        <v>91</v>
      </c>
      <c r="E68" s="69" t="s">
        <v>29</v>
      </c>
      <c r="F68" s="69">
        <v>45542.033618518515</v>
      </c>
      <c r="G68" s="75">
        <v>2537</v>
      </c>
      <c r="H68" s="72" t="s">
        <v>16</v>
      </c>
    </row>
    <row r="69" spans="2:8" x14ac:dyDescent="0.25">
      <c r="B69" s="69" t="s">
        <v>28</v>
      </c>
      <c r="C69" s="69" t="s">
        <v>90</v>
      </c>
      <c r="D69" s="71" t="s">
        <v>91</v>
      </c>
      <c r="E69" s="69" t="s">
        <v>29</v>
      </c>
      <c r="F69" s="69">
        <v>45542.033618518515</v>
      </c>
      <c r="G69" s="75">
        <v>2538</v>
      </c>
      <c r="H69" s="69" t="s">
        <v>16</v>
      </c>
    </row>
    <row r="70" spans="2:8" x14ac:dyDescent="0.25">
      <c r="B70" s="69" t="s">
        <v>16</v>
      </c>
      <c r="C70" s="69"/>
      <c r="D70" s="71"/>
      <c r="E70" s="69"/>
      <c r="F70" s="69"/>
      <c r="G70" s="75">
        <v>2539</v>
      </c>
      <c r="H70" s="69" t="s">
        <v>16</v>
      </c>
    </row>
    <row r="71" spans="2:8" x14ac:dyDescent="0.25">
      <c r="B71" s="69" t="s">
        <v>16</v>
      </c>
      <c r="C71" s="69"/>
      <c r="D71" s="71"/>
      <c r="E71" s="69"/>
      <c r="F71" s="69"/>
      <c r="G71" s="75">
        <v>2540</v>
      </c>
      <c r="H71" s="69" t="s">
        <v>16</v>
      </c>
    </row>
    <row r="72" spans="2:8" x14ac:dyDescent="0.25">
      <c r="B72" s="69" t="s">
        <v>28</v>
      </c>
      <c r="C72" s="69" t="s">
        <v>90</v>
      </c>
      <c r="D72" s="71" t="s">
        <v>91</v>
      </c>
      <c r="E72" s="69" t="s">
        <v>29</v>
      </c>
      <c r="F72" s="69">
        <v>45542.033618518515</v>
      </c>
      <c r="G72" s="75">
        <v>2541</v>
      </c>
      <c r="H72" s="69" t="s">
        <v>16</v>
      </c>
    </row>
    <row r="73" spans="2:8" customFormat="1" x14ac:dyDescent="0.25">
      <c r="B73" s="48"/>
      <c r="C73" s="48"/>
      <c r="D73" s="49"/>
      <c r="E73" s="48"/>
      <c r="F73" s="48"/>
      <c r="G73" s="75">
        <v>2542</v>
      </c>
      <c r="H73" s="48"/>
    </row>
    <row r="74" spans="2:8" customFormat="1" ht="28.5" x14ac:dyDescent="0.45">
      <c r="B74" s="48"/>
      <c r="C74" s="13"/>
      <c r="D74" s="14"/>
      <c r="E74" s="13"/>
      <c r="F74" s="13"/>
      <c r="G74" s="75">
        <v>2543</v>
      </c>
      <c r="H74" s="13"/>
    </row>
    <row r="75" spans="2:8" customFormat="1" x14ac:dyDescent="0.25">
      <c r="B75" s="48"/>
      <c r="C75" s="48"/>
      <c r="D75" s="49"/>
      <c r="E75" s="48"/>
      <c r="F75" s="48"/>
      <c r="G75" s="75">
        <v>2544</v>
      </c>
      <c r="H75" s="48"/>
    </row>
    <row r="76" spans="2:8" x14ac:dyDescent="0.25">
      <c r="B76" s="69" t="s">
        <v>28</v>
      </c>
      <c r="C76" s="69" t="s">
        <v>90</v>
      </c>
      <c r="D76" s="71" t="s">
        <v>91</v>
      </c>
      <c r="E76" s="69" t="s">
        <v>29</v>
      </c>
      <c r="F76" s="69">
        <v>45542.033618518515</v>
      </c>
      <c r="G76" s="75">
        <v>2545</v>
      </c>
      <c r="H76" s="71" t="s">
        <v>16</v>
      </c>
    </row>
    <row r="77" spans="2:8" x14ac:dyDescent="0.25">
      <c r="B77" s="69" t="s">
        <v>28</v>
      </c>
      <c r="C77" s="69" t="s">
        <v>90</v>
      </c>
      <c r="D77" s="71" t="s">
        <v>91</v>
      </c>
      <c r="E77" s="69" t="s">
        <v>29</v>
      </c>
      <c r="F77" s="69">
        <v>45542.033618518515</v>
      </c>
      <c r="G77" s="75">
        <v>46376</v>
      </c>
      <c r="H77" s="71" t="s">
        <v>16</v>
      </c>
    </row>
    <row r="78" spans="2:8" x14ac:dyDescent="0.25">
      <c r="B78" s="69" t="s">
        <v>28</v>
      </c>
      <c r="C78" s="69" t="s">
        <v>90</v>
      </c>
      <c r="D78" s="71" t="s">
        <v>91</v>
      </c>
      <c r="E78" s="69" t="s">
        <v>29</v>
      </c>
      <c r="F78" s="69">
        <v>45542.033618518515</v>
      </c>
      <c r="G78" s="75">
        <v>2547</v>
      </c>
      <c r="H78" s="71" t="s">
        <v>16</v>
      </c>
    </row>
    <row r="79" spans="2:8" x14ac:dyDescent="0.25">
      <c r="B79" s="69" t="s">
        <v>28</v>
      </c>
      <c r="C79" s="69" t="s">
        <v>90</v>
      </c>
      <c r="D79" s="71" t="s">
        <v>91</v>
      </c>
      <c r="E79" s="69" t="s">
        <v>29</v>
      </c>
      <c r="F79" s="69"/>
      <c r="G79" s="75">
        <v>2548</v>
      </c>
      <c r="H79" s="69"/>
    </row>
    <row r="80" spans="2:8" x14ac:dyDescent="0.25">
      <c r="B80" s="69" t="s">
        <v>44</v>
      </c>
      <c r="C80" s="69">
        <v>0</v>
      </c>
      <c r="D80" s="71">
        <v>0</v>
      </c>
      <c r="E80" s="69" t="s">
        <v>29</v>
      </c>
      <c r="F80" s="69"/>
      <c r="G80" s="75">
        <v>2549</v>
      </c>
      <c r="H80" s="69"/>
    </row>
    <row r="81" spans="2:8" x14ac:dyDescent="0.25">
      <c r="B81" s="72" t="s">
        <v>44</v>
      </c>
      <c r="C81" s="72">
        <v>0</v>
      </c>
      <c r="D81" s="72">
        <v>0</v>
      </c>
      <c r="E81" s="72" t="s">
        <v>29</v>
      </c>
      <c r="F81" s="72">
        <v>45546.160797453704</v>
      </c>
      <c r="G81" s="75">
        <v>2550</v>
      </c>
      <c r="H81" s="72" t="s">
        <v>18</v>
      </c>
    </row>
    <row r="82" spans="2:8" x14ac:dyDescent="0.25">
      <c r="B82" s="72" t="s">
        <v>44</v>
      </c>
      <c r="C82" s="72">
        <v>0</v>
      </c>
      <c r="D82" s="72">
        <v>0</v>
      </c>
      <c r="E82" s="72" t="s">
        <v>29</v>
      </c>
      <c r="F82" s="72">
        <v>45546.160797453704</v>
      </c>
      <c r="G82" s="75">
        <v>2551</v>
      </c>
      <c r="H82" s="72" t="s">
        <v>18</v>
      </c>
    </row>
    <row r="83" spans="2:8" x14ac:dyDescent="0.25">
      <c r="B83" s="72" t="s">
        <v>44</v>
      </c>
      <c r="C83" s="72">
        <v>0</v>
      </c>
      <c r="D83" s="72">
        <v>0</v>
      </c>
      <c r="E83" s="72" t="s">
        <v>29</v>
      </c>
      <c r="F83" s="72">
        <v>45546.160797453704</v>
      </c>
      <c r="G83" s="75">
        <v>2552</v>
      </c>
      <c r="H83" s="72" t="s">
        <v>18</v>
      </c>
    </row>
    <row r="84" spans="2:8" x14ac:dyDescent="0.25">
      <c r="B84" s="72" t="s">
        <v>44</v>
      </c>
      <c r="C84" s="72">
        <v>0</v>
      </c>
      <c r="D84" s="72">
        <v>0</v>
      </c>
      <c r="E84" s="72" t="s">
        <v>29</v>
      </c>
      <c r="F84" s="72">
        <v>45546.160797453704</v>
      </c>
      <c r="G84" s="75">
        <v>2553</v>
      </c>
      <c r="H84" s="72" t="s">
        <v>18</v>
      </c>
    </row>
    <row r="85" spans="2:8" x14ac:dyDescent="0.25">
      <c r="B85" s="72" t="s">
        <v>44</v>
      </c>
      <c r="C85" s="72">
        <v>0</v>
      </c>
      <c r="D85" s="72">
        <v>0</v>
      </c>
      <c r="E85" s="72" t="s">
        <v>29</v>
      </c>
      <c r="F85" s="72">
        <v>45546.160797453704</v>
      </c>
      <c r="G85" s="75">
        <v>2554</v>
      </c>
      <c r="H85" s="72" t="s">
        <v>18</v>
      </c>
    </row>
    <row r="86" spans="2:8" x14ac:dyDescent="0.25">
      <c r="B86" s="72" t="s">
        <v>44</v>
      </c>
      <c r="C86" s="72">
        <v>0</v>
      </c>
      <c r="D86" s="72">
        <v>0</v>
      </c>
      <c r="E86" s="72" t="s">
        <v>29</v>
      </c>
      <c r="F86" s="72">
        <v>45546.160797453704</v>
      </c>
      <c r="G86" s="75">
        <v>2555</v>
      </c>
      <c r="H86" s="72" t="s">
        <v>18</v>
      </c>
    </row>
    <row r="87" spans="2:8" x14ac:dyDescent="0.25">
      <c r="B87" s="72" t="s">
        <v>44</v>
      </c>
      <c r="C87" s="72">
        <v>0</v>
      </c>
      <c r="D87" s="72">
        <v>0</v>
      </c>
      <c r="E87" s="72" t="s">
        <v>29</v>
      </c>
      <c r="F87" s="72">
        <v>45546.160797453704</v>
      </c>
      <c r="G87" s="75">
        <v>2556</v>
      </c>
      <c r="H87" s="72" t="s">
        <v>18</v>
      </c>
    </row>
    <row r="88" spans="2:8" x14ac:dyDescent="0.25">
      <c r="B88" s="72" t="s">
        <v>44</v>
      </c>
      <c r="C88" s="72">
        <v>0</v>
      </c>
      <c r="D88" s="72">
        <v>0</v>
      </c>
      <c r="E88" s="72" t="s">
        <v>29</v>
      </c>
      <c r="F88" s="72">
        <v>45546.160797453704</v>
      </c>
      <c r="G88" s="75">
        <v>2557</v>
      </c>
      <c r="H88" s="72" t="s">
        <v>18</v>
      </c>
    </row>
    <row r="89" spans="2:8" x14ac:dyDescent="0.25">
      <c r="B89" s="72" t="s">
        <v>44</v>
      </c>
      <c r="C89" s="72">
        <v>0</v>
      </c>
      <c r="D89" s="72">
        <v>0</v>
      </c>
      <c r="E89" s="72" t="s">
        <v>29</v>
      </c>
      <c r="F89" s="72">
        <v>45546.160797453704</v>
      </c>
      <c r="G89" s="75">
        <v>2558</v>
      </c>
      <c r="H89" s="72" t="s">
        <v>18</v>
      </c>
    </row>
    <row r="90" spans="2:8" x14ac:dyDescent="0.25">
      <c r="B90" s="72" t="s">
        <v>44</v>
      </c>
      <c r="C90" s="72">
        <v>0</v>
      </c>
      <c r="D90" s="72">
        <v>0</v>
      </c>
      <c r="E90" s="72" t="s">
        <v>29</v>
      </c>
      <c r="F90" s="72">
        <v>45546.160797453704</v>
      </c>
      <c r="G90" s="75">
        <v>2559</v>
      </c>
      <c r="H90" s="72" t="s">
        <v>18</v>
      </c>
    </row>
    <row r="91" spans="2:8" x14ac:dyDescent="0.25">
      <c r="B91" s="72" t="s">
        <v>44</v>
      </c>
      <c r="C91" s="72">
        <v>0</v>
      </c>
      <c r="D91" s="72">
        <v>0</v>
      </c>
      <c r="E91" s="72" t="s">
        <v>29</v>
      </c>
      <c r="F91" s="72">
        <v>45546.160797453704</v>
      </c>
      <c r="G91" s="75">
        <v>2560</v>
      </c>
      <c r="H91" s="72" t="s">
        <v>18</v>
      </c>
    </row>
    <row r="92" spans="2:8" x14ac:dyDescent="0.25">
      <c r="B92" s="72" t="s">
        <v>44</v>
      </c>
      <c r="C92" s="72">
        <v>0</v>
      </c>
      <c r="D92" s="72">
        <v>0</v>
      </c>
      <c r="E92" s="72" t="s">
        <v>29</v>
      </c>
      <c r="F92" s="72">
        <v>45546.160797453704</v>
      </c>
      <c r="G92" s="75">
        <v>2561</v>
      </c>
      <c r="H92" s="72" t="s">
        <v>18</v>
      </c>
    </row>
    <row r="93" spans="2:8" x14ac:dyDescent="0.25">
      <c r="B93" s="72" t="s">
        <v>44</v>
      </c>
      <c r="C93" s="72">
        <v>0</v>
      </c>
      <c r="D93" s="72">
        <v>0</v>
      </c>
      <c r="E93" s="72" t="s">
        <v>29</v>
      </c>
      <c r="F93" s="72">
        <v>45546.160797453704</v>
      </c>
      <c r="G93" s="75">
        <v>2562</v>
      </c>
      <c r="H93" s="72" t="s">
        <v>18</v>
      </c>
    </row>
    <row r="94" spans="2:8" x14ac:dyDescent="0.25">
      <c r="B94" s="72" t="s">
        <v>44</v>
      </c>
      <c r="C94" s="72">
        <v>0</v>
      </c>
      <c r="D94" s="72">
        <v>0</v>
      </c>
      <c r="E94" s="72" t="s">
        <v>29</v>
      </c>
      <c r="F94" s="72">
        <v>45546.160797453704</v>
      </c>
      <c r="G94" s="75">
        <v>2563</v>
      </c>
      <c r="H94" s="72" t="s">
        <v>18</v>
      </c>
    </row>
    <row r="95" spans="2:8" x14ac:dyDescent="0.25">
      <c r="B95" s="72" t="s">
        <v>44</v>
      </c>
      <c r="C95" s="72">
        <v>0</v>
      </c>
      <c r="D95" s="72">
        <v>0</v>
      </c>
      <c r="E95" s="72" t="s">
        <v>29</v>
      </c>
      <c r="F95" s="72">
        <v>45546.160797453704</v>
      </c>
      <c r="G95" s="75">
        <v>2564</v>
      </c>
      <c r="H95" s="72" t="s">
        <v>18</v>
      </c>
    </row>
    <row r="96" spans="2:8" x14ac:dyDescent="0.25">
      <c r="B96" s="72" t="s">
        <v>44</v>
      </c>
      <c r="C96" s="72">
        <v>0</v>
      </c>
      <c r="D96" s="72">
        <v>0</v>
      </c>
      <c r="E96" s="72" t="s">
        <v>29</v>
      </c>
      <c r="F96" s="72">
        <v>45546.160797453704</v>
      </c>
      <c r="G96" s="75">
        <v>2565</v>
      </c>
      <c r="H96" s="72" t="s">
        <v>18</v>
      </c>
    </row>
    <row r="97" spans="2:8" x14ac:dyDescent="0.25">
      <c r="B97" s="72" t="s">
        <v>44</v>
      </c>
      <c r="C97" s="72">
        <v>0</v>
      </c>
      <c r="D97" s="72">
        <v>0</v>
      </c>
      <c r="E97" s="72" t="s">
        <v>29</v>
      </c>
      <c r="F97" s="72">
        <v>45546.160797453704</v>
      </c>
      <c r="G97" s="75">
        <v>2566</v>
      </c>
      <c r="H97" s="72" t="s">
        <v>18</v>
      </c>
    </row>
    <row r="98" spans="2:8" x14ac:dyDescent="0.25">
      <c r="B98" s="72" t="s">
        <v>44</v>
      </c>
      <c r="C98" s="72">
        <v>0</v>
      </c>
      <c r="D98" s="72">
        <v>0</v>
      </c>
      <c r="E98" s="72" t="s">
        <v>29</v>
      </c>
      <c r="F98" s="72">
        <v>45546.160797453704</v>
      </c>
      <c r="G98" s="75">
        <v>2567</v>
      </c>
      <c r="H98" s="72" t="s">
        <v>18</v>
      </c>
    </row>
    <row r="99" spans="2:8" x14ac:dyDescent="0.25">
      <c r="B99" s="72" t="s">
        <v>44</v>
      </c>
      <c r="C99" s="72">
        <v>0</v>
      </c>
      <c r="D99" s="72">
        <v>0</v>
      </c>
      <c r="E99" s="72" t="s">
        <v>29</v>
      </c>
      <c r="F99" s="72">
        <v>45546.160797453704</v>
      </c>
      <c r="G99" s="75">
        <v>2568</v>
      </c>
      <c r="H99" s="72" t="s">
        <v>18</v>
      </c>
    </row>
    <row r="100" spans="2:8" x14ac:dyDescent="0.25">
      <c r="B100" s="72" t="s">
        <v>44</v>
      </c>
      <c r="C100" s="72">
        <v>0</v>
      </c>
      <c r="D100" s="72">
        <v>0</v>
      </c>
      <c r="E100" s="72" t="s">
        <v>29</v>
      </c>
      <c r="F100" s="72">
        <v>45546.160797453704</v>
      </c>
      <c r="G100" s="75">
        <v>2569</v>
      </c>
      <c r="H100" s="72" t="s">
        <v>18</v>
      </c>
    </row>
    <row r="101" spans="2:8" x14ac:dyDescent="0.25">
      <c r="B101" s="72" t="s">
        <v>44</v>
      </c>
      <c r="C101" s="72">
        <v>0</v>
      </c>
      <c r="D101" s="72">
        <v>0</v>
      </c>
      <c r="E101" s="72" t="s">
        <v>29</v>
      </c>
      <c r="F101" s="72">
        <v>45546.160797453704</v>
      </c>
      <c r="G101" s="75">
        <v>2570</v>
      </c>
      <c r="H101" s="72" t="s">
        <v>18</v>
      </c>
    </row>
    <row r="102" spans="2:8" x14ac:dyDescent="0.25">
      <c r="B102" s="72" t="s">
        <v>44</v>
      </c>
      <c r="C102" s="72">
        <v>0</v>
      </c>
      <c r="D102" s="72">
        <v>0</v>
      </c>
      <c r="E102" s="72" t="s">
        <v>29</v>
      </c>
      <c r="F102" s="72">
        <v>45546.160797453704</v>
      </c>
      <c r="G102" s="75">
        <v>2571</v>
      </c>
      <c r="H102" s="72" t="s">
        <v>18</v>
      </c>
    </row>
    <row r="103" spans="2:8" x14ac:dyDescent="0.25">
      <c r="B103" s="72" t="s">
        <v>44</v>
      </c>
      <c r="C103" s="72">
        <v>0</v>
      </c>
      <c r="D103" s="72">
        <v>0</v>
      </c>
      <c r="E103" s="72" t="s">
        <v>29</v>
      </c>
      <c r="F103" s="72">
        <v>45546.160797453704</v>
      </c>
      <c r="G103" s="75">
        <v>2572</v>
      </c>
      <c r="H103" s="72" t="s">
        <v>18</v>
      </c>
    </row>
    <row r="104" spans="2:8" x14ac:dyDescent="0.25">
      <c r="B104" s="72" t="s">
        <v>44</v>
      </c>
      <c r="C104" s="72">
        <v>0</v>
      </c>
      <c r="D104" s="72">
        <v>0</v>
      </c>
      <c r="E104" s="72" t="s">
        <v>29</v>
      </c>
      <c r="F104" s="72">
        <v>45546.160797453704</v>
      </c>
      <c r="G104" s="75">
        <v>2573</v>
      </c>
      <c r="H104" s="72" t="s">
        <v>18</v>
      </c>
    </row>
    <row r="105" spans="2:8" x14ac:dyDescent="0.25">
      <c r="B105" s="72" t="s">
        <v>44</v>
      </c>
      <c r="C105" s="72">
        <v>0</v>
      </c>
      <c r="D105" s="72">
        <v>0</v>
      </c>
      <c r="E105" s="72" t="s">
        <v>29</v>
      </c>
      <c r="F105" s="72">
        <v>45546.160797453704</v>
      </c>
      <c r="G105" s="75">
        <v>2574</v>
      </c>
      <c r="H105" s="72" t="s">
        <v>18</v>
      </c>
    </row>
    <row r="106" spans="2:8" x14ac:dyDescent="0.25">
      <c r="B106" s="72" t="s">
        <v>44</v>
      </c>
      <c r="C106" s="72">
        <v>0</v>
      </c>
      <c r="D106" s="72">
        <v>0</v>
      </c>
      <c r="E106" s="72" t="s">
        <v>29</v>
      </c>
      <c r="F106" s="72">
        <v>45546.160797453704</v>
      </c>
      <c r="G106" s="75">
        <v>2575</v>
      </c>
      <c r="H106" s="72" t="s">
        <v>18</v>
      </c>
    </row>
    <row r="107" spans="2:8" x14ac:dyDescent="0.25">
      <c r="B107" s="72" t="s">
        <v>44</v>
      </c>
      <c r="C107" s="72">
        <v>0</v>
      </c>
      <c r="D107" s="72">
        <v>0</v>
      </c>
      <c r="E107" s="72" t="s">
        <v>29</v>
      </c>
      <c r="F107" s="72">
        <v>45546.160797453704</v>
      </c>
      <c r="G107" s="75">
        <v>2576</v>
      </c>
      <c r="H107" s="72" t="s">
        <v>18</v>
      </c>
    </row>
    <row r="108" spans="2:8" x14ac:dyDescent="0.25">
      <c r="B108" s="72" t="s">
        <v>44</v>
      </c>
      <c r="C108" s="72">
        <v>0</v>
      </c>
      <c r="D108" s="72">
        <v>0</v>
      </c>
      <c r="E108" s="72" t="s">
        <v>29</v>
      </c>
      <c r="F108" s="72">
        <v>45546.160797453704</v>
      </c>
      <c r="G108" s="75">
        <v>2577</v>
      </c>
      <c r="H108" s="72" t="s">
        <v>18</v>
      </c>
    </row>
    <row r="109" spans="2:8" x14ac:dyDescent="0.25">
      <c r="B109" s="72" t="s">
        <v>44</v>
      </c>
      <c r="C109" s="72">
        <v>0</v>
      </c>
      <c r="D109" s="72">
        <v>0</v>
      </c>
      <c r="E109" s="72" t="s">
        <v>29</v>
      </c>
      <c r="F109" s="72">
        <v>45546.160797453704</v>
      </c>
      <c r="G109" s="75">
        <v>2578</v>
      </c>
      <c r="H109" s="72" t="s">
        <v>18</v>
      </c>
    </row>
    <row r="110" spans="2:8" x14ac:dyDescent="0.25">
      <c r="B110" s="72" t="s">
        <v>44</v>
      </c>
      <c r="C110" s="72">
        <v>0</v>
      </c>
      <c r="D110" s="72">
        <v>0</v>
      </c>
      <c r="E110" s="72" t="s">
        <v>29</v>
      </c>
      <c r="F110" s="72">
        <v>45546.160797453704</v>
      </c>
      <c r="G110" s="75">
        <v>2579</v>
      </c>
      <c r="H110" s="72" t="s">
        <v>18</v>
      </c>
    </row>
    <row r="111" spans="2:8" x14ac:dyDescent="0.25">
      <c r="B111" s="72" t="s">
        <v>44</v>
      </c>
      <c r="C111" s="72">
        <v>0</v>
      </c>
      <c r="D111" s="72">
        <v>0</v>
      </c>
      <c r="E111" s="72" t="s">
        <v>29</v>
      </c>
      <c r="F111" s="72">
        <v>45546.160797453704</v>
      </c>
      <c r="G111" s="75">
        <v>2580</v>
      </c>
      <c r="H111" s="72" t="s">
        <v>18</v>
      </c>
    </row>
    <row r="112" spans="2:8" x14ac:dyDescent="0.25">
      <c r="B112" s="72" t="s">
        <v>44</v>
      </c>
      <c r="C112" s="72">
        <v>0</v>
      </c>
      <c r="D112" s="72">
        <v>0</v>
      </c>
      <c r="E112" s="72" t="s">
        <v>29</v>
      </c>
      <c r="F112" s="72">
        <v>45546.160797453704</v>
      </c>
      <c r="G112" s="75">
        <v>2581</v>
      </c>
      <c r="H112" s="72" t="s">
        <v>18</v>
      </c>
    </row>
    <row r="113" spans="2:8" x14ac:dyDescent="0.25">
      <c r="B113" s="73" t="s">
        <v>44</v>
      </c>
      <c r="C113" s="73">
        <v>0</v>
      </c>
      <c r="D113" s="73">
        <v>0</v>
      </c>
      <c r="E113" s="73" t="s">
        <v>29</v>
      </c>
      <c r="F113" s="73">
        <v>45546.160797453704</v>
      </c>
      <c r="G113" s="75">
        <v>2582</v>
      </c>
      <c r="H113" s="73" t="s">
        <v>18</v>
      </c>
    </row>
    <row r="114" spans="2:8" x14ac:dyDescent="0.25">
      <c r="B114" s="73" t="s">
        <v>44</v>
      </c>
      <c r="C114" s="73" t="s">
        <v>45</v>
      </c>
      <c r="D114" s="73" t="s">
        <v>46</v>
      </c>
      <c r="E114" s="73" t="s">
        <v>29</v>
      </c>
      <c r="F114" s="73">
        <v>45546.160797453704</v>
      </c>
      <c r="G114" s="75">
        <v>2583</v>
      </c>
      <c r="H114" s="73" t="s">
        <v>18</v>
      </c>
    </row>
    <row r="115" spans="2:8" customFormat="1" x14ac:dyDescent="0.25">
      <c r="B115" s="63">
        <v>0</v>
      </c>
      <c r="C115" s="63">
        <v>0</v>
      </c>
      <c r="D115" s="63">
        <v>0</v>
      </c>
      <c r="E115" s="63">
        <v>0</v>
      </c>
      <c r="F115" s="63">
        <v>0</v>
      </c>
      <c r="G115" s="75">
        <v>2584</v>
      </c>
      <c r="H115" s="63">
        <v>0</v>
      </c>
    </row>
    <row r="116" spans="2:8" x14ac:dyDescent="0.25">
      <c r="B116" s="73" t="s">
        <v>41</v>
      </c>
      <c r="C116" s="73" t="s">
        <v>42</v>
      </c>
      <c r="D116" s="73" t="s">
        <v>43</v>
      </c>
      <c r="E116" s="73" t="s">
        <v>25</v>
      </c>
      <c r="F116" s="73">
        <v>45545.219111342594</v>
      </c>
      <c r="G116" s="75">
        <v>2585</v>
      </c>
      <c r="H116" s="73" t="s">
        <v>16</v>
      </c>
    </row>
    <row r="117" spans="2:8" customFormat="1" x14ac:dyDescent="0.25">
      <c r="B117" s="63">
        <v>0</v>
      </c>
      <c r="C117" s="63">
        <v>0</v>
      </c>
      <c r="D117" s="63">
        <v>0</v>
      </c>
      <c r="E117" s="63">
        <v>0</v>
      </c>
      <c r="F117" s="63">
        <v>0</v>
      </c>
      <c r="G117" s="75">
        <v>2586</v>
      </c>
      <c r="H117" s="63">
        <v>0</v>
      </c>
    </row>
    <row r="118" spans="2:8" x14ac:dyDescent="0.25">
      <c r="B118" s="73" t="s">
        <v>38</v>
      </c>
      <c r="C118" s="73" t="s">
        <v>39</v>
      </c>
      <c r="D118" s="73" t="s">
        <v>40</v>
      </c>
      <c r="E118" s="73" t="s">
        <v>25</v>
      </c>
      <c r="F118" s="73">
        <v>45545.216310532407</v>
      </c>
      <c r="G118" s="75">
        <v>2587</v>
      </c>
      <c r="H118" s="73" t="s">
        <v>16</v>
      </c>
    </row>
    <row r="119" spans="2:8" x14ac:dyDescent="0.25">
      <c r="B119" s="73" t="s">
        <v>32</v>
      </c>
      <c r="C119" s="73" t="s">
        <v>36</v>
      </c>
      <c r="D119" s="73" t="s">
        <v>37</v>
      </c>
      <c r="E119" s="73" t="s">
        <v>33</v>
      </c>
      <c r="F119" s="73">
        <v>45545.21531122685</v>
      </c>
      <c r="G119" s="75">
        <v>2588</v>
      </c>
      <c r="H119" s="73" t="s">
        <v>16</v>
      </c>
    </row>
    <row r="120" spans="2:8" x14ac:dyDescent="0.25">
      <c r="B120" s="73" t="s">
        <v>32</v>
      </c>
      <c r="C120" s="73">
        <v>0</v>
      </c>
      <c r="D120" s="73">
        <v>0</v>
      </c>
      <c r="E120" s="73" t="s">
        <v>33</v>
      </c>
      <c r="F120" s="73">
        <v>45545.21531122685</v>
      </c>
      <c r="G120" s="75">
        <v>2589</v>
      </c>
      <c r="H120" s="73" t="s">
        <v>16</v>
      </c>
    </row>
    <row r="121" spans="2:8" x14ac:dyDescent="0.25">
      <c r="B121" s="73" t="s">
        <v>32</v>
      </c>
      <c r="C121" s="73">
        <v>0</v>
      </c>
      <c r="D121" s="73">
        <v>0</v>
      </c>
      <c r="E121" s="73" t="s">
        <v>33</v>
      </c>
      <c r="F121" s="73">
        <v>45545.21531122685</v>
      </c>
      <c r="G121" s="75">
        <v>2590</v>
      </c>
      <c r="H121" s="73" t="s">
        <v>16</v>
      </c>
    </row>
    <row r="122" spans="2:8" x14ac:dyDescent="0.25">
      <c r="B122" s="73" t="s">
        <v>32</v>
      </c>
      <c r="C122" s="73">
        <v>0</v>
      </c>
      <c r="D122" s="73">
        <v>0</v>
      </c>
      <c r="E122" s="73" t="s">
        <v>33</v>
      </c>
      <c r="F122" s="73">
        <v>45545.21531122685</v>
      </c>
      <c r="G122" s="75">
        <v>2591</v>
      </c>
      <c r="H122" s="73" t="s">
        <v>16</v>
      </c>
    </row>
    <row r="123" spans="2:8" x14ac:dyDescent="0.25">
      <c r="B123" s="73" t="s">
        <v>32</v>
      </c>
      <c r="C123" s="73">
        <v>0</v>
      </c>
      <c r="D123" s="73">
        <v>0</v>
      </c>
      <c r="E123" s="73" t="s">
        <v>33</v>
      </c>
      <c r="F123" s="73">
        <v>45545.21531122685</v>
      </c>
      <c r="G123" s="75">
        <v>2592</v>
      </c>
      <c r="H123" s="73" t="s">
        <v>16</v>
      </c>
    </row>
    <row r="124" spans="2:8" x14ac:dyDescent="0.25">
      <c r="B124" s="73" t="s">
        <v>32</v>
      </c>
      <c r="C124" s="73">
        <v>0</v>
      </c>
      <c r="D124" s="73">
        <v>0</v>
      </c>
      <c r="E124" s="73" t="s">
        <v>33</v>
      </c>
      <c r="F124" s="73">
        <v>45545.21531122685</v>
      </c>
      <c r="G124" s="75">
        <v>2593</v>
      </c>
      <c r="H124" s="73" t="s">
        <v>16</v>
      </c>
    </row>
    <row r="125" spans="2:8" x14ac:dyDescent="0.25">
      <c r="B125" s="73" t="s">
        <v>32</v>
      </c>
      <c r="C125" s="73">
        <v>0</v>
      </c>
      <c r="D125" s="73">
        <v>0</v>
      </c>
      <c r="E125" s="73" t="s">
        <v>33</v>
      </c>
      <c r="F125" s="73">
        <v>45545.21531122685</v>
      </c>
      <c r="G125" s="75">
        <v>2594</v>
      </c>
      <c r="H125" s="73" t="s">
        <v>16</v>
      </c>
    </row>
    <row r="126" spans="2:8" x14ac:dyDescent="0.25">
      <c r="B126" s="73" t="s">
        <v>32</v>
      </c>
      <c r="C126" s="73">
        <v>0</v>
      </c>
      <c r="D126" s="73">
        <v>0</v>
      </c>
      <c r="E126" s="73" t="s">
        <v>33</v>
      </c>
      <c r="F126" s="73">
        <v>45545.21531122685</v>
      </c>
      <c r="G126" s="75">
        <v>2595</v>
      </c>
      <c r="H126" s="73" t="s">
        <v>16</v>
      </c>
    </row>
    <row r="127" spans="2:8" x14ac:dyDescent="0.25">
      <c r="B127" s="73" t="s">
        <v>32</v>
      </c>
      <c r="C127" s="73">
        <v>0</v>
      </c>
      <c r="D127" s="73">
        <v>0</v>
      </c>
      <c r="E127" s="73" t="s">
        <v>33</v>
      </c>
      <c r="F127" s="73">
        <v>45545.21531122685</v>
      </c>
      <c r="G127" s="75">
        <v>2596</v>
      </c>
      <c r="H127" s="73" t="s">
        <v>16</v>
      </c>
    </row>
    <row r="128" spans="2:8" x14ac:dyDescent="0.25">
      <c r="B128" s="73" t="s">
        <v>32</v>
      </c>
      <c r="C128" s="73">
        <v>0</v>
      </c>
      <c r="D128" s="73">
        <v>0</v>
      </c>
      <c r="E128" s="73" t="s">
        <v>33</v>
      </c>
      <c r="F128" s="73">
        <v>45545.21531122685</v>
      </c>
      <c r="G128" s="75">
        <v>2597</v>
      </c>
      <c r="H128" s="73" t="s">
        <v>16</v>
      </c>
    </row>
    <row r="129" spans="2:8" x14ac:dyDescent="0.25">
      <c r="B129" s="73" t="s">
        <v>32</v>
      </c>
      <c r="C129" s="73">
        <v>0</v>
      </c>
      <c r="D129" s="73">
        <v>0</v>
      </c>
      <c r="E129" s="73" t="s">
        <v>33</v>
      </c>
      <c r="F129" s="73">
        <v>45545.21531122685</v>
      </c>
      <c r="G129" s="75">
        <v>2598</v>
      </c>
      <c r="H129" s="73" t="s">
        <v>16</v>
      </c>
    </row>
    <row r="130" spans="2:8" x14ac:dyDescent="0.25">
      <c r="B130" s="73" t="s">
        <v>32</v>
      </c>
      <c r="C130" s="73">
        <v>0</v>
      </c>
      <c r="D130" s="73">
        <v>0</v>
      </c>
      <c r="E130" s="73" t="s">
        <v>33</v>
      </c>
      <c r="F130" s="73">
        <v>45545.21531122685</v>
      </c>
      <c r="G130" s="75">
        <v>2599</v>
      </c>
      <c r="H130" s="73" t="s">
        <v>16</v>
      </c>
    </row>
    <row r="131" spans="2:8" x14ac:dyDescent="0.25">
      <c r="B131" s="73" t="s">
        <v>32</v>
      </c>
      <c r="C131" s="73">
        <v>0</v>
      </c>
      <c r="D131" s="73">
        <v>0</v>
      </c>
      <c r="E131" s="73" t="s">
        <v>33</v>
      </c>
      <c r="F131" s="73">
        <v>45545.21531122685</v>
      </c>
      <c r="G131" s="75">
        <v>2600</v>
      </c>
      <c r="H131" s="73" t="s">
        <v>16</v>
      </c>
    </row>
    <row r="132" spans="2:8" x14ac:dyDescent="0.25">
      <c r="B132" s="73" t="s">
        <v>32</v>
      </c>
      <c r="C132" s="73">
        <v>0</v>
      </c>
      <c r="D132" s="73">
        <v>0</v>
      </c>
      <c r="E132" s="73" t="s">
        <v>33</v>
      </c>
      <c r="F132" s="73">
        <v>45545.21531122685</v>
      </c>
      <c r="G132" s="75">
        <v>2601</v>
      </c>
      <c r="H132" s="73" t="s">
        <v>16</v>
      </c>
    </row>
    <row r="133" spans="2:8" x14ac:dyDescent="0.25">
      <c r="B133" s="73" t="s">
        <v>32</v>
      </c>
      <c r="C133" s="73">
        <v>0</v>
      </c>
      <c r="D133" s="73">
        <v>0</v>
      </c>
      <c r="E133" s="73" t="s">
        <v>33</v>
      </c>
      <c r="F133" s="73">
        <v>45545.21531122685</v>
      </c>
      <c r="G133" s="75">
        <v>2602</v>
      </c>
      <c r="H133" s="73" t="s">
        <v>16</v>
      </c>
    </row>
    <row r="134" spans="2:8" x14ac:dyDescent="0.25">
      <c r="B134" s="73" t="s">
        <v>32</v>
      </c>
      <c r="C134" s="73">
        <v>0</v>
      </c>
      <c r="D134" s="73">
        <v>0</v>
      </c>
      <c r="E134" s="73" t="s">
        <v>33</v>
      </c>
      <c r="F134" s="73">
        <v>45545.21531122685</v>
      </c>
      <c r="G134" s="75">
        <v>2603</v>
      </c>
      <c r="H134" s="73" t="s">
        <v>16</v>
      </c>
    </row>
    <row r="135" spans="2:8" x14ac:dyDescent="0.25">
      <c r="B135" s="73" t="s">
        <v>32</v>
      </c>
      <c r="C135" s="73">
        <v>0</v>
      </c>
      <c r="D135" s="73">
        <v>0</v>
      </c>
      <c r="E135" s="73" t="s">
        <v>33</v>
      </c>
      <c r="F135" s="73">
        <v>45545.21531122685</v>
      </c>
      <c r="G135" s="75">
        <v>2604</v>
      </c>
      <c r="H135" s="73" t="s">
        <v>16</v>
      </c>
    </row>
    <row r="136" spans="2:8" x14ac:dyDescent="0.25">
      <c r="B136" s="73" t="s">
        <v>32</v>
      </c>
      <c r="C136" s="73">
        <v>0</v>
      </c>
      <c r="D136" s="73">
        <v>0</v>
      </c>
      <c r="E136" s="73" t="s">
        <v>33</v>
      </c>
      <c r="F136" s="73">
        <v>45545.21531122685</v>
      </c>
      <c r="G136" s="75">
        <v>2605</v>
      </c>
      <c r="H136" s="73" t="s">
        <v>16</v>
      </c>
    </row>
    <row r="137" spans="2:8" x14ac:dyDescent="0.25">
      <c r="B137" s="73" t="s">
        <v>32</v>
      </c>
      <c r="C137" s="73">
        <v>0</v>
      </c>
      <c r="D137" s="73">
        <v>0</v>
      </c>
      <c r="E137" s="73" t="s">
        <v>33</v>
      </c>
      <c r="F137" s="73">
        <v>45545.21531122685</v>
      </c>
      <c r="G137" s="75">
        <v>2606</v>
      </c>
      <c r="H137" s="73" t="s">
        <v>16</v>
      </c>
    </row>
    <row r="138" spans="2:8" x14ac:dyDescent="0.25">
      <c r="B138" s="73" t="s">
        <v>32</v>
      </c>
      <c r="C138" s="73">
        <v>0</v>
      </c>
      <c r="D138" s="73">
        <v>0</v>
      </c>
      <c r="E138" s="73" t="s">
        <v>33</v>
      </c>
      <c r="F138" s="73">
        <v>45545.21531122685</v>
      </c>
      <c r="G138" s="75">
        <v>2607</v>
      </c>
      <c r="H138" s="73" t="s">
        <v>16</v>
      </c>
    </row>
    <row r="139" spans="2:8" x14ac:dyDescent="0.25">
      <c r="B139" s="73" t="s">
        <v>32</v>
      </c>
      <c r="C139" s="73">
        <v>0</v>
      </c>
      <c r="D139" s="73">
        <v>0</v>
      </c>
      <c r="E139" s="73" t="s">
        <v>33</v>
      </c>
      <c r="F139" s="73">
        <v>45545.21531122685</v>
      </c>
      <c r="G139" s="75">
        <v>2608</v>
      </c>
      <c r="H139" s="73" t="s">
        <v>16</v>
      </c>
    </row>
    <row r="140" spans="2:8" x14ac:dyDescent="0.25">
      <c r="B140" s="73" t="s">
        <v>32</v>
      </c>
      <c r="C140" s="73">
        <v>0</v>
      </c>
      <c r="D140" s="73">
        <v>0</v>
      </c>
      <c r="E140" s="73" t="s">
        <v>33</v>
      </c>
      <c r="F140" s="73">
        <v>45545.21531122685</v>
      </c>
      <c r="G140" s="75">
        <v>2609</v>
      </c>
      <c r="H140" s="73" t="s">
        <v>16</v>
      </c>
    </row>
    <row r="141" spans="2:8" x14ac:dyDescent="0.25">
      <c r="B141" s="73" t="s">
        <v>32</v>
      </c>
      <c r="C141" s="73">
        <v>0</v>
      </c>
      <c r="D141" s="73">
        <v>0</v>
      </c>
      <c r="E141" s="73" t="s">
        <v>33</v>
      </c>
      <c r="F141" s="73">
        <v>45545.21531122685</v>
      </c>
      <c r="G141" s="75">
        <v>2610</v>
      </c>
      <c r="H141" s="73" t="s">
        <v>16</v>
      </c>
    </row>
    <row r="142" spans="2:8" x14ac:dyDescent="0.25">
      <c r="B142" s="73" t="s">
        <v>32</v>
      </c>
      <c r="C142" s="73">
        <v>0</v>
      </c>
      <c r="D142" s="73">
        <v>0</v>
      </c>
      <c r="E142" s="73" t="s">
        <v>33</v>
      </c>
      <c r="F142" s="73">
        <v>45545.21531122685</v>
      </c>
      <c r="G142" s="75">
        <v>2611</v>
      </c>
      <c r="H142" s="73" t="s">
        <v>16</v>
      </c>
    </row>
    <row r="143" spans="2:8" x14ac:dyDescent="0.25">
      <c r="B143" s="73" t="s">
        <v>32</v>
      </c>
      <c r="C143" s="73" t="s">
        <v>34</v>
      </c>
      <c r="D143" s="73" t="s">
        <v>35</v>
      </c>
      <c r="E143" s="73" t="s">
        <v>33</v>
      </c>
      <c r="F143" s="73">
        <v>45545.21531122685</v>
      </c>
      <c r="G143" s="75">
        <v>2612</v>
      </c>
      <c r="H143" s="73" t="s">
        <v>16</v>
      </c>
    </row>
    <row r="144" spans="2:8" customFormat="1" x14ac:dyDescent="0.25">
      <c r="B144" s="63">
        <v>0</v>
      </c>
      <c r="C144" s="63">
        <v>0</v>
      </c>
      <c r="D144" s="63">
        <v>0</v>
      </c>
      <c r="E144" s="63">
        <v>0</v>
      </c>
      <c r="F144" s="63">
        <v>0</v>
      </c>
      <c r="G144" s="75">
        <v>2613</v>
      </c>
      <c r="H144" s="63">
        <v>0</v>
      </c>
    </row>
    <row r="145" spans="2:8" customFormat="1" x14ac:dyDescent="0.25">
      <c r="B145" s="63">
        <v>0</v>
      </c>
      <c r="C145" s="63">
        <v>0</v>
      </c>
      <c r="D145" s="63">
        <v>0</v>
      </c>
      <c r="E145" s="63">
        <v>0</v>
      </c>
      <c r="F145" s="63">
        <v>0</v>
      </c>
      <c r="G145" s="75">
        <v>2614</v>
      </c>
      <c r="H145" s="63">
        <v>0</v>
      </c>
    </row>
    <row r="146" spans="2:8" x14ac:dyDescent="0.25">
      <c r="B146" s="73" t="s">
        <v>28</v>
      </c>
      <c r="C146" s="73" t="s">
        <v>30</v>
      </c>
      <c r="D146" s="73" t="s">
        <v>31</v>
      </c>
      <c r="E146" s="73" t="s">
        <v>29</v>
      </c>
      <c r="F146" s="73">
        <v>0</v>
      </c>
      <c r="G146" s="75">
        <v>2615</v>
      </c>
      <c r="H146" s="73" t="s">
        <v>16</v>
      </c>
    </row>
    <row r="147" spans="2:8" x14ac:dyDescent="0.25">
      <c r="B147" s="73" t="s">
        <v>24</v>
      </c>
      <c r="C147" s="73" t="s">
        <v>26</v>
      </c>
      <c r="D147" s="73" t="s">
        <v>27</v>
      </c>
      <c r="E147" s="73" t="s">
        <v>25</v>
      </c>
      <c r="F147" s="73">
        <v>45545.20968310185</v>
      </c>
      <c r="G147" s="75">
        <v>2616</v>
      </c>
      <c r="H147" s="73" t="s">
        <v>16</v>
      </c>
    </row>
  </sheetData>
  <mergeCells count="1">
    <mergeCell ref="B16:H18"/>
  </mergeCells>
  <conditionalFormatting sqref="B19:H31 B32:F48 H32:H48 G32:G147">
    <cfRule type="expression" dxfId="1" priority="1">
      <formula>SEARCH(#REF!,$B19)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3" r:id="rId3" name="TextBox1">
          <controlPr autoLine="0" linkedCell="C1" r:id="rId4">
            <anchor moveWithCells="1">
              <from>
                <xdr:col>2</xdr:col>
                <xdr:colOff>1571625</xdr:colOff>
                <xdr:row>4</xdr:row>
                <xdr:rowOff>171450</xdr:rowOff>
              </from>
              <to>
                <xdr:col>3</xdr:col>
                <xdr:colOff>1914525</xdr:colOff>
                <xdr:row>6</xdr:row>
                <xdr:rowOff>28575</xdr:rowOff>
              </to>
            </anchor>
          </controlPr>
        </control>
      </mc:Choice>
      <mc:Fallback>
        <control shapeId="12293" r:id="rId3" name="TextBox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5:K18"/>
  <sheetViews>
    <sheetView workbookViewId="0">
      <selection activeCell="E11" sqref="E11"/>
    </sheetView>
  </sheetViews>
  <sheetFormatPr defaultRowHeight="15" x14ac:dyDescent="0.25"/>
  <cols>
    <col min="2" max="2" width="9.140625" customWidth="1"/>
    <col min="3" max="3" width="9" customWidth="1"/>
    <col min="4" max="4" width="9.7109375" customWidth="1"/>
    <col min="5" max="5" width="27.140625" customWidth="1"/>
    <col min="6" max="6" width="2.28515625" customWidth="1"/>
    <col min="8" max="8" width="27.42578125" customWidth="1"/>
    <col min="9" max="9" width="2" customWidth="1"/>
    <col min="10" max="10" width="16.140625" customWidth="1"/>
    <col min="11" max="11" width="27.7109375" customWidth="1"/>
  </cols>
  <sheetData>
    <row r="5" spans="4:11" ht="9.75" customHeight="1" x14ac:dyDescent="0.25"/>
    <row r="6" spans="4:11" hidden="1" x14ac:dyDescent="0.25"/>
    <row r="7" spans="4:11" ht="34.5" customHeight="1" x14ac:dyDescent="0.25">
      <c r="D7" s="83" t="s">
        <v>21</v>
      </c>
      <c r="E7" s="84"/>
      <c r="F7" s="84"/>
      <c r="G7" s="84"/>
      <c r="H7" s="84"/>
      <c r="I7" s="84"/>
      <c r="J7" s="84"/>
      <c r="K7" s="84"/>
    </row>
    <row r="8" spans="4:11" x14ac:dyDescent="0.25">
      <c r="D8" s="84"/>
      <c r="E8" s="84"/>
      <c r="F8" s="84"/>
      <c r="G8" s="84"/>
      <c r="H8" s="84"/>
      <c r="I8" s="84"/>
      <c r="J8" s="84"/>
      <c r="K8" s="84"/>
    </row>
    <row r="9" spans="4:11" ht="36" x14ac:dyDescent="0.55000000000000004">
      <c r="D9" s="80" t="s">
        <v>0</v>
      </c>
      <c r="E9" s="81"/>
      <c r="F9" s="30"/>
      <c r="G9" s="82" t="s">
        <v>3</v>
      </c>
      <c r="H9" s="81"/>
      <c r="I9" s="30"/>
      <c r="J9" s="82" t="s">
        <v>6</v>
      </c>
      <c r="K9" s="81"/>
    </row>
    <row r="10" spans="4:11" ht="15.75" thickBot="1" x14ac:dyDescent="0.3">
      <c r="D10" s="3"/>
      <c r="E10" s="2"/>
      <c r="F10" s="1"/>
      <c r="G10" s="1"/>
      <c r="H10" s="2"/>
      <c r="I10" s="1"/>
      <c r="J10" s="1"/>
      <c r="K10" s="2"/>
    </row>
    <row r="11" spans="4:11" ht="21.75" thickBot="1" x14ac:dyDescent="0.4">
      <c r="D11" s="17" t="s">
        <v>1</v>
      </c>
      <c r="E11" s="4" t="s">
        <v>81</v>
      </c>
      <c r="F11" s="1"/>
      <c r="G11" s="17" t="s">
        <v>1</v>
      </c>
      <c r="H11" s="4" t="s">
        <v>82</v>
      </c>
      <c r="I11" s="1"/>
      <c r="J11" s="18" t="s">
        <v>8</v>
      </c>
      <c r="K11" s="19">
        <v>45547.167154282404</v>
      </c>
    </row>
    <row r="12" spans="4:11" ht="15.75" thickBot="1" x14ac:dyDescent="0.3">
      <c r="D12" s="3"/>
      <c r="E12" s="2"/>
      <c r="F12" s="1"/>
      <c r="G12" s="1"/>
      <c r="H12" s="2"/>
      <c r="I12" s="1"/>
      <c r="J12" s="1"/>
      <c r="K12" s="2"/>
    </row>
    <row r="13" spans="4:11" ht="21.75" thickBot="1" x14ac:dyDescent="0.4">
      <c r="D13" s="17" t="s">
        <v>2</v>
      </c>
      <c r="E13" s="4" t="s">
        <v>80</v>
      </c>
      <c r="F13" s="1"/>
      <c r="G13" s="17" t="s">
        <v>4</v>
      </c>
      <c r="H13" s="4" t="s">
        <v>83</v>
      </c>
      <c r="I13" s="1"/>
      <c r="J13" s="45"/>
      <c r="K13" s="2"/>
    </row>
    <row r="14" spans="4:11" ht="15.75" thickBot="1" x14ac:dyDescent="0.3">
      <c r="D14" s="3"/>
      <c r="E14" s="8"/>
      <c r="F14" s="1"/>
      <c r="G14" s="1"/>
      <c r="H14" s="2"/>
      <c r="I14" s="1"/>
      <c r="J14" s="1"/>
      <c r="K14" s="2"/>
    </row>
    <row r="15" spans="4:11" ht="21.75" thickBot="1" x14ac:dyDescent="0.4">
      <c r="D15" s="3"/>
      <c r="E15" s="2"/>
      <c r="F15" s="1"/>
      <c r="G15" s="17" t="s">
        <v>5</v>
      </c>
      <c r="H15" s="4" t="s">
        <v>16</v>
      </c>
      <c r="I15" s="1"/>
      <c r="J15" s="1"/>
      <c r="K15" s="2"/>
    </row>
    <row r="16" spans="4:11" x14ac:dyDescent="0.25">
      <c r="D16" s="3"/>
      <c r="E16" s="2"/>
      <c r="F16" s="1"/>
      <c r="G16" s="1"/>
      <c r="H16" s="8"/>
      <c r="I16" s="1"/>
      <c r="J16" s="1"/>
      <c r="K16" s="2"/>
    </row>
    <row r="17" spans="4:11" x14ac:dyDescent="0.25">
      <c r="D17" s="3"/>
      <c r="E17" s="2"/>
      <c r="F17" s="1"/>
      <c r="G17" s="1"/>
      <c r="H17" s="2"/>
      <c r="I17" s="1"/>
      <c r="J17" s="1"/>
      <c r="K17" s="2"/>
    </row>
    <row r="18" spans="4:11" x14ac:dyDescent="0.25">
      <c r="D18" s="9"/>
      <c r="E18" s="10"/>
      <c r="F18" s="11"/>
      <c r="G18" s="11"/>
      <c r="H18" s="10"/>
      <c r="I18" s="11"/>
      <c r="J18" s="11"/>
      <c r="K18" s="10"/>
    </row>
  </sheetData>
  <mergeCells count="4">
    <mergeCell ref="D7:K8"/>
    <mergeCell ref="D9:E9"/>
    <mergeCell ref="G9:H9"/>
    <mergeCell ref="J9:K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'Helper Sheet'!$B$3:$B$8</xm:f>
          </x14:formula1>
          <xm:sqref>H15</xm:sqref>
        </x14:dataValidation>
        <x14:dataValidation type="list" allowBlank="1" showInputMessage="1" showErrorMessage="1">
          <x14:formula1>
            <xm:f>'Helper Sheet'!$A$3:$A$8</xm:f>
          </x14:formula1>
          <xm:sqref>E13</xm:sqref>
        </x14:dataValidation>
        <x14:dataValidation type="list" allowBlank="1" showInputMessage="1" showErrorMessage="1">
          <x14:formula1>
            <xm:f>'Helper Sheet'!$C$3</xm:f>
          </x14:formula1>
          <xm:sqref>K11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8:K19"/>
  <sheetViews>
    <sheetView workbookViewId="0">
      <selection activeCell="E12" sqref="E12"/>
    </sheetView>
  </sheetViews>
  <sheetFormatPr defaultRowHeight="15" x14ac:dyDescent="0.25"/>
  <cols>
    <col min="5" max="5" width="29.85546875" customWidth="1"/>
    <col min="6" max="6" width="0.85546875" customWidth="1"/>
    <col min="7" max="7" width="14.7109375" customWidth="1"/>
    <col min="8" max="8" width="28" customWidth="1"/>
    <col min="9" max="9" width="1.85546875" customWidth="1"/>
    <col min="10" max="10" width="18.5703125" customWidth="1"/>
    <col min="11" max="11" width="21.5703125" customWidth="1"/>
  </cols>
  <sheetData>
    <row r="8" spans="4:11" ht="33.75" customHeight="1" x14ac:dyDescent="0.25">
      <c r="D8" s="83" t="s">
        <v>21</v>
      </c>
      <c r="E8" s="84"/>
      <c r="F8" s="84"/>
      <c r="G8" s="84"/>
      <c r="H8" s="84"/>
      <c r="I8" s="84"/>
      <c r="J8" s="84"/>
      <c r="K8" s="84"/>
    </row>
    <row r="9" spans="4:11" x14ac:dyDescent="0.25">
      <c r="D9" s="84"/>
      <c r="E9" s="84"/>
      <c r="F9" s="84"/>
      <c r="G9" s="84"/>
      <c r="H9" s="84"/>
      <c r="I9" s="84"/>
      <c r="J9" s="84"/>
      <c r="K9" s="84"/>
    </row>
    <row r="10" spans="4:11" ht="36" x14ac:dyDescent="0.55000000000000004">
      <c r="D10" s="82" t="s">
        <v>106</v>
      </c>
      <c r="E10" s="81"/>
      <c r="F10" s="30"/>
      <c r="G10" s="82" t="s">
        <v>3</v>
      </c>
      <c r="H10" s="81"/>
      <c r="I10" s="30"/>
      <c r="J10" s="82" t="s">
        <v>6</v>
      </c>
      <c r="K10" s="81"/>
    </row>
    <row r="11" spans="4:11" ht="15.75" thickBot="1" x14ac:dyDescent="0.3">
      <c r="D11" s="3"/>
      <c r="E11" s="2"/>
      <c r="F11" s="1"/>
      <c r="G11" s="1"/>
      <c r="H11" s="2"/>
      <c r="I11" s="1"/>
      <c r="J11" s="1"/>
      <c r="K11" s="2"/>
    </row>
    <row r="12" spans="4:11" ht="21.75" thickBot="1" x14ac:dyDescent="0.4">
      <c r="D12" s="17" t="s">
        <v>1</v>
      </c>
      <c r="E12" s="4" t="s">
        <v>125</v>
      </c>
      <c r="F12" s="1"/>
      <c r="G12" s="17" t="s">
        <v>1</v>
      </c>
      <c r="H12" s="4"/>
      <c r="I12" s="1"/>
      <c r="J12" s="58" t="s">
        <v>88</v>
      </c>
      <c r="K12" s="57">
        <v>45549.823359490743</v>
      </c>
    </row>
    <row r="13" spans="4:11" ht="15.75" thickBot="1" x14ac:dyDescent="0.3">
      <c r="D13" s="3"/>
      <c r="E13" s="2"/>
      <c r="F13" s="1"/>
      <c r="G13" s="1"/>
      <c r="H13" s="2"/>
      <c r="I13" s="1"/>
      <c r="J13" s="1"/>
      <c r="K13" s="2"/>
    </row>
    <row r="14" spans="4:11" ht="21.75" thickBot="1" x14ac:dyDescent="0.4">
      <c r="D14" s="17" t="s">
        <v>2</v>
      </c>
      <c r="E14" s="4" t="s">
        <v>29</v>
      </c>
      <c r="F14" s="1"/>
      <c r="G14" s="17" t="s">
        <v>4</v>
      </c>
      <c r="H14" s="4"/>
      <c r="I14" s="1"/>
      <c r="J14" s="17" t="s">
        <v>108</v>
      </c>
      <c r="K14" s="4"/>
    </row>
    <row r="15" spans="4:11" ht="15.75" thickBot="1" x14ac:dyDescent="0.3">
      <c r="D15" s="3"/>
      <c r="E15" s="8"/>
      <c r="F15" s="1"/>
      <c r="G15" s="1"/>
      <c r="H15" s="2"/>
      <c r="I15" s="1"/>
      <c r="J15" s="1"/>
      <c r="K15" s="2"/>
    </row>
    <row r="16" spans="4:11" ht="21.75" thickBot="1" x14ac:dyDescent="0.4">
      <c r="D16" s="3"/>
      <c r="E16" s="2"/>
      <c r="F16" s="1"/>
      <c r="G16" s="17" t="s">
        <v>5</v>
      </c>
      <c r="H16" s="4" t="s">
        <v>20</v>
      </c>
      <c r="I16" s="1"/>
      <c r="J16" s="60" t="s">
        <v>87</v>
      </c>
      <c r="K16" s="59"/>
    </row>
    <row r="17" spans="4:11" ht="15.75" thickBot="1" x14ac:dyDescent="0.3">
      <c r="D17" s="3"/>
      <c r="E17" s="2"/>
      <c r="F17" s="1"/>
      <c r="G17" s="1"/>
      <c r="H17" s="8"/>
      <c r="I17" s="1"/>
      <c r="J17" s="1"/>
      <c r="K17" s="2"/>
    </row>
    <row r="18" spans="4:11" ht="24" thickBot="1" x14ac:dyDescent="0.4">
      <c r="D18" s="3"/>
      <c r="E18" s="2"/>
      <c r="F18" s="1"/>
      <c r="G18" s="17" t="s">
        <v>107</v>
      </c>
      <c r="H18" s="4"/>
      <c r="I18" s="1"/>
      <c r="J18" s="62"/>
      <c r="K18" s="2"/>
    </row>
    <row r="19" spans="4:11" x14ac:dyDescent="0.25">
      <c r="D19" s="9"/>
      <c r="E19" s="10"/>
      <c r="F19" s="11"/>
      <c r="G19" s="11"/>
      <c r="H19" s="10"/>
      <c r="I19" s="11"/>
      <c r="J19" s="11"/>
      <c r="K19" s="10"/>
    </row>
  </sheetData>
  <mergeCells count="4">
    <mergeCell ref="D8:K9"/>
    <mergeCell ref="D10:E10"/>
    <mergeCell ref="G10:H10"/>
    <mergeCell ref="J10:K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'Helper Sheet'!$C$3</xm:f>
          </x14:formula1>
          <xm:sqref>K12</xm:sqref>
        </x14:dataValidation>
        <x14:dataValidation type="list" allowBlank="1" showInputMessage="1" showErrorMessage="1">
          <x14:formula1>
            <xm:f>'Helper Sheet'!$A$3:$A$8</xm:f>
          </x14:formula1>
          <xm:sqref>E14</xm:sqref>
        </x14:dataValidation>
        <x14:dataValidation type="list" allowBlank="1" showInputMessage="1" showErrorMessage="1">
          <x14:formula1>
            <xm:f>'Helper Sheet'!$B$3:$B$8</xm:f>
          </x14:formula1>
          <xm:sqref>H16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5:K22"/>
  <sheetViews>
    <sheetView workbookViewId="0">
      <selection activeCell="E12" sqref="E12"/>
    </sheetView>
  </sheetViews>
  <sheetFormatPr defaultRowHeight="15" x14ac:dyDescent="0.25"/>
  <cols>
    <col min="3" max="3" width="1.85546875" customWidth="1"/>
    <col min="4" max="4" width="10.28515625" customWidth="1"/>
    <col min="5" max="5" width="25.7109375" customWidth="1"/>
    <col min="6" max="6" width="2.140625" customWidth="1"/>
    <col min="7" max="7" width="11" customWidth="1"/>
    <col min="8" max="8" width="25.85546875" customWidth="1"/>
    <col min="9" max="9" width="2.7109375" customWidth="1"/>
    <col min="10" max="10" width="18.140625" customWidth="1"/>
    <col min="11" max="11" width="30.140625" customWidth="1"/>
  </cols>
  <sheetData>
    <row r="5" spans="4:11" ht="9.75" customHeight="1" x14ac:dyDescent="0.25"/>
    <row r="6" spans="4:11" hidden="1" x14ac:dyDescent="0.25"/>
    <row r="7" spans="4:11" ht="1.5" hidden="1" customHeight="1" x14ac:dyDescent="0.25"/>
    <row r="8" spans="4:11" ht="28.5" customHeight="1" x14ac:dyDescent="0.25">
      <c r="D8" s="83" t="s">
        <v>21</v>
      </c>
      <c r="E8" s="84"/>
      <c r="F8" s="84"/>
      <c r="G8" s="84"/>
      <c r="H8" s="84"/>
      <c r="I8" s="84"/>
      <c r="J8" s="84"/>
      <c r="K8" s="84"/>
    </row>
    <row r="9" spans="4:11" x14ac:dyDescent="0.25">
      <c r="D9" s="84"/>
      <c r="E9" s="84"/>
      <c r="F9" s="84"/>
      <c r="G9" s="84"/>
      <c r="H9" s="84"/>
      <c r="I9" s="84"/>
      <c r="J9" s="84"/>
      <c r="K9" s="84"/>
    </row>
    <row r="10" spans="4:11" ht="35.25" customHeight="1" x14ac:dyDescent="0.55000000000000004">
      <c r="D10" s="80" t="s">
        <v>47</v>
      </c>
      <c r="E10" s="81"/>
      <c r="F10" s="20"/>
      <c r="G10" s="82" t="s">
        <v>48</v>
      </c>
      <c r="H10" s="81"/>
      <c r="I10" s="20"/>
      <c r="J10" s="82" t="s">
        <v>50</v>
      </c>
      <c r="K10" s="81"/>
    </row>
    <row r="11" spans="4:11" ht="15.75" thickBot="1" x14ac:dyDescent="0.3">
      <c r="D11" s="3"/>
      <c r="E11" s="2"/>
      <c r="F11" s="1"/>
      <c r="G11" s="1"/>
      <c r="H11" s="2"/>
      <c r="I11" s="1"/>
      <c r="J11" s="1"/>
      <c r="K11" s="2"/>
    </row>
    <row r="12" spans="4:11" ht="21.75" thickBot="1" x14ac:dyDescent="0.4">
      <c r="D12" s="17" t="s">
        <v>1</v>
      </c>
      <c r="E12" s="44" t="s">
        <v>59</v>
      </c>
      <c r="F12" s="1"/>
      <c r="G12" s="17" t="s">
        <v>1</v>
      </c>
      <c r="H12" s="44" t="s">
        <v>28</v>
      </c>
      <c r="I12" s="2"/>
      <c r="J12" s="17" t="s">
        <v>1</v>
      </c>
      <c r="K12" s="44" t="s">
        <v>112</v>
      </c>
    </row>
    <row r="13" spans="4:11" ht="15.75" thickBot="1" x14ac:dyDescent="0.3">
      <c r="D13" s="3"/>
      <c r="E13" s="2"/>
      <c r="F13" s="1"/>
      <c r="G13" s="1"/>
      <c r="H13" s="2"/>
      <c r="I13" s="1"/>
      <c r="J13" s="1"/>
      <c r="K13" s="32"/>
    </row>
    <row r="14" spans="4:11" ht="21.75" thickBot="1" x14ac:dyDescent="0.4">
      <c r="D14" s="17" t="s">
        <v>51</v>
      </c>
      <c r="E14" s="44">
        <v>2022</v>
      </c>
      <c r="F14" s="1"/>
      <c r="G14" s="17" t="s">
        <v>49</v>
      </c>
      <c r="H14" s="44" t="s">
        <v>60</v>
      </c>
      <c r="I14" s="2"/>
      <c r="J14" s="17" t="s">
        <v>49</v>
      </c>
      <c r="K14" s="44" t="s">
        <v>113</v>
      </c>
    </row>
    <row r="15" spans="4:11" ht="15.75" thickBot="1" x14ac:dyDescent="0.3">
      <c r="D15" s="3"/>
      <c r="E15" s="2"/>
      <c r="F15" s="1"/>
      <c r="G15" s="1"/>
      <c r="H15" s="2"/>
      <c r="I15" s="1"/>
      <c r="J15" s="1"/>
      <c r="K15" s="2"/>
    </row>
    <row r="16" spans="4:11" ht="21.75" thickBot="1" x14ac:dyDescent="0.4">
      <c r="D16" s="3"/>
      <c r="E16" s="2"/>
      <c r="F16" s="1"/>
      <c r="G16" s="17" t="s">
        <v>51</v>
      </c>
      <c r="H16" s="44">
        <v>2021</v>
      </c>
      <c r="I16" s="1"/>
      <c r="J16" s="17" t="s">
        <v>51</v>
      </c>
      <c r="K16" s="44">
        <v>2021</v>
      </c>
    </row>
    <row r="17" spans="4:11" x14ac:dyDescent="0.25">
      <c r="D17" s="3"/>
      <c r="E17" s="2"/>
      <c r="F17" s="1"/>
      <c r="G17" s="1"/>
      <c r="H17" s="2"/>
      <c r="I17" s="1"/>
      <c r="J17" s="1"/>
      <c r="K17" s="2"/>
    </row>
    <row r="18" spans="4:11" x14ac:dyDescent="0.25">
      <c r="D18" s="3"/>
      <c r="E18" s="2"/>
      <c r="F18" s="1"/>
      <c r="G18" s="1"/>
      <c r="H18" s="2"/>
      <c r="I18" s="1"/>
      <c r="J18" s="1"/>
      <c r="K18" s="2"/>
    </row>
    <row r="19" spans="4:11" x14ac:dyDescent="0.25">
      <c r="D19" s="9"/>
      <c r="E19" s="10"/>
      <c r="F19" s="11"/>
      <c r="G19" s="11"/>
      <c r="H19" s="10"/>
      <c r="I19" s="11"/>
      <c r="J19" s="11"/>
      <c r="K19" s="10"/>
    </row>
    <row r="20" spans="4:11" x14ac:dyDescent="0.25">
      <c r="D20" s="33"/>
      <c r="E20" s="34"/>
      <c r="F20" s="34"/>
      <c r="G20" s="34"/>
      <c r="H20" s="34"/>
      <c r="I20" s="34"/>
      <c r="J20" s="34"/>
      <c r="K20" s="35"/>
    </row>
    <row r="21" spans="4:11" x14ac:dyDescent="0.25">
      <c r="D21" s="3"/>
      <c r="E21" s="1"/>
      <c r="F21" s="1"/>
      <c r="G21" s="1"/>
      <c r="H21" s="1"/>
      <c r="I21" s="1"/>
      <c r="J21" s="1"/>
      <c r="K21" s="2"/>
    </row>
    <row r="22" spans="4:11" x14ac:dyDescent="0.25">
      <c r="D22" s="9"/>
      <c r="E22" s="11"/>
      <c r="F22" s="11"/>
      <c r="G22" s="11"/>
      <c r="H22" s="11"/>
      <c r="I22" s="11"/>
      <c r="J22" s="11"/>
      <c r="K22" s="10"/>
    </row>
  </sheetData>
  <mergeCells count="4">
    <mergeCell ref="D8:K9"/>
    <mergeCell ref="D10:E10"/>
    <mergeCell ref="G10:H10"/>
    <mergeCell ref="J10:K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'Helper Sheet'!$B$27:$B$58</xm:f>
          </x14:formula1>
          <xm:sqref>E14 H16 K16</xm:sqref>
        </x14:dataValidation>
        <x14:dataValidation type="list" allowBlank="1" showInputMessage="1" showErrorMessage="1">
          <x14:formula1>
            <xm:f>'Helper Sheet'!$A$27:$A$45</xm:f>
          </x14:formula1>
          <xm:sqref>H14 K14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65"/>
  <sheetViews>
    <sheetView topLeftCell="A46" workbookViewId="0">
      <selection activeCell="A65" sqref="A65:H65"/>
    </sheetView>
  </sheetViews>
  <sheetFormatPr defaultRowHeight="15" x14ac:dyDescent="0.25"/>
  <cols>
    <col min="1" max="1" width="11.85546875" customWidth="1"/>
    <col min="2" max="2" width="13.85546875" bestFit="1" customWidth="1"/>
    <col min="3" max="3" width="14.85546875" bestFit="1" customWidth="1"/>
    <col min="4" max="4" width="11.140625" customWidth="1"/>
    <col min="5" max="5" width="15.5703125" customWidth="1"/>
    <col min="6" max="6" width="14.140625" customWidth="1"/>
    <col min="7" max="7" width="8.5703125" customWidth="1"/>
    <col min="8" max="8" width="6" customWidth="1"/>
  </cols>
  <sheetData>
    <row r="2" spans="1:4" x14ac:dyDescent="0.25">
      <c r="A2" s="5" t="s">
        <v>2</v>
      </c>
      <c r="B2" s="5" t="s">
        <v>5</v>
      </c>
      <c r="C2" s="5" t="s">
        <v>7</v>
      </c>
      <c r="D2" s="5"/>
    </row>
    <row r="3" spans="1:4" ht="17.25" x14ac:dyDescent="0.25">
      <c r="A3" t="s">
        <v>9</v>
      </c>
      <c r="B3" s="6" t="s">
        <v>15</v>
      </c>
      <c r="C3" s="7">
        <f ca="1">NOW()</f>
        <v>45565.193404976853</v>
      </c>
      <c r="D3" s="7"/>
    </row>
    <row r="4" spans="1:4" ht="17.25" x14ac:dyDescent="0.25">
      <c r="A4" t="s">
        <v>10</v>
      </c>
      <c r="B4" s="6" t="s">
        <v>16</v>
      </c>
    </row>
    <row r="5" spans="1:4" ht="17.25" x14ac:dyDescent="0.25">
      <c r="A5" t="s">
        <v>11</v>
      </c>
      <c r="B5" s="6" t="s">
        <v>17</v>
      </c>
    </row>
    <row r="6" spans="1:4" ht="17.25" x14ac:dyDescent="0.25">
      <c r="A6" t="s">
        <v>12</v>
      </c>
      <c r="B6" s="6" t="s">
        <v>18</v>
      </c>
    </row>
    <row r="7" spans="1:4" ht="17.25" x14ac:dyDescent="0.25">
      <c r="A7" t="s">
        <v>13</v>
      </c>
      <c r="B7" s="6" t="s">
        <v>19</v>
      </c>
    </row>
    <row r="8" spans="1:4" ht="17.25" x14ac:dyDescent="0.25">
      <c r="A8" t="s">
        <v>14</v>
      </c>
      <c r="B8" s="6" t="s">
        <v>20</v>
      </c>
    </row>
    <row r="9" spans="1:4" ht="15.75" thickBot="1" x14ac:dyDescent="0.3"/>
    <row r="10" spans="1:4" ht="15.75" thickBot="1" x14ac:dyDescent="0.3">
      <c r="A10" s="92" t="s">
        <v>89</v>
      </c>
      <c r="B10" s="93"/>
      <c r="C10" s="94"/>
    </row>
    <row r="11" spans="1:4" x14ac:dyDescent="0.25">
      <c r="A11" s="5" t="s">
        <v>22</v>
      </c>
      <c r="B11" t="str">
        <f>'Borrow Form'!C8</f>
        <v>saado</v>
      </c>
    </row>
    <row r="12" spans="1:4" x14ac:dyDescent="0.25">
      <c r="A12" s="5" t="s">
        <v>23</v>
      </c>
    </row>
    <row r="13" spans="1:4" x14ac:dyDescent="0.25">
      <c r="A13" s="5" t="s">
        <v>4</v>
      </c>
      <c r="B13">
        <f>'Borrow Form'!F10</f>
        <v>0</v>
      </c>
    </row>
    <row r="14" spans="1:4" x14ac:dyDescent="0.25">
      <c r="A14" s="5" t="s">
        <v>2</v>
      </c>
      <c r="B14" t="str">
        <f>'Borrow Form'!C10</f>
        <v>11th</v>
      </c>
    </row>
    <row r="15" spans="1:4" x14ac:dyDescent="0.25">
      <c r="A15" s="5" t="s">
        <v>7</v>
      </c>
      <c r="B15" s="7"/>
    </row>
    <row r="16" spans="1:4" x14ac:dyDescent="0.25">
      <c r="A16" s="5" t="s">
        <v>5</v>
      </c>
      <c r="B16" t="str">
        <f>'Borrow Form'!F12</f>
        <v xml:space="preserve">PKR 900  </v>
      </c>
    </row>
    <row r="18" spans="1:8" x14ac:dyDescent="0.25">
      <c r="A18" t="s">
        <v>22</v>
      </c>
      <c r="B18" t="s">
        <v>23</v>
      </c>
      <c r="C18" t="s">
        <v>4</v>
      </c>
      <c r="D18" t="s">
        <v>2</v>
      </c>
      <c r="E18" t="s">
        <v>7</v>
      </c>
      <c r="F18" t="s">
        <v>5</v>
      </c>
    </row>
    <row r="19" spans="1:8" x14ac:dyDescent="0.25">
      <c r="A19" t="str">
        <f>'Borrow Form'!C8</f>
        <v>saado</v>
      </c>
      <c r="B19">
        <f>'Borrow Form'!F8</f>
        <v>0</v>
      </c>
      <c r="C19">
        <f>'Borrow Form'!F10</f>
        <v>0</v>
      </c>
      <c r="D19" t="str">
        <f>'Borrow Form'!C10</f>
        <v>11th</v>
      </c>
      <c r="E19" s="61">
        <f>'Borrow Form'!I8</f>
        <v>45550.070022569445</v>
      </c>
      <c r="F19" t="str">
        <f>'Borrow Form'!F12</f>
        <v xml:space="preserve">PKR 900  </v>
      </c>
    </row>
    <row r="22" spans="1:8" ht="21" x14ac:dyDescent="0.35">
      <c r="A22" s="91" t="s">
        <v>47</v>
      </c>
      <c r="B22" s="91"/>
      <c r="C22" s="91" t="s">
        <v>54</v>
      </c>
      <c r="D22" s="91"/>
      <c r="E22" s="91"/>
      <c r="F22" s="91" t="s">
        <v>50</v>
      </c>
      <c r="G22" s="91"/>
      <c r="H22" s="91"/>
    </row>
    <row r="23" spans="1:8" ht="21" x14ac:dyDescent="0.35">
      <c r="A23" s="38" t="s">
        <v>1</v>
      </c>
      <c r="B23" s="38" t="s">
        <v>51</v>
      </c>
      <c r="C23" s="38" t="s">
        <v>56</v>
      </c>
      <c r="D23" s="38" t="s">
        <v>57</v>
      </c>
      <c r="E23" s="38" t="s">
        <v>58</v>
      </c>
      <c r="F23" s="38" t="s">
        <v>52</v>
      </c>
      <c r="G23" s="38" t="s">
        <v>55</v>
      </c>
      <c r="H23" s="38" t="s">
        <v>53</v>
      </c>
    </row>
    <row r="24" spans="1:8" x14ac:dyDescent="0.25">
      <c r="A24" t="str">
        <f>Staff!E12</f>
        <v>Rashid Khosa</v>
      </c>
      <c r="B24">
        <f>Staff!E14</f>
        <v>2022</v>
      </c>
      <c r="C24" t="str">
        <f>Staff!H12</f>
        <v>Zahoor Ahmed</v>
      </c>
      <c r="D24" t="str">
        <f>Staff!H14</f>
        <v>17th</v>
      </c>
      <c r="E24" t="str">
        <f>Staff!H14</f>
        <v>17th</v>
      </c>
      <c r="F24" t="str">
        <f>Staff!K12</f>
        <v>ABC</v>
      </c>
      <c r="G24" t="str">
        <f>Staff!K14</f>
        <v>21st</v>
      </c>
      <c r="H24">
        <f>Staff!K16</f>
        <v>2021</v>
      </c>
    </row>
    <row r="26" spans="1:8" x14ac:dyDescent="0.25">
      <c r="A26" s="5" t="s">
        <v>49</v>
      </c>
      <c r="B26" s="5" t="s">
        <v>51</v>
      </c>
    </row>
    <row r="27" spans="1:8" ht="17.25" x14ac:dyDescent="0.25">
      <c r="A27" t="s">
        <v>61</v>
      </c>
      <c r="B27">
        <v>2004</v>
      </c>
    </row>
    <row r="28" spans="1:8" ht="17.25" x14ac:dyDescent="0.25">
      <c r="A28" t="s">
        <v>62</v>
      </c>
      <c r="B28">
        <v>2005</v>
      </c>
    </row>
    <row r="29" spans="1:8" ht="17.25" x14ac:dyDescent="0.25">
      <c r="A29" t="s">
        <v>63</v>
      </c>
      <c r="B29">
        <v>2006</v>
      </c>
    </row>
    <row r="30" spans="1:8" ht="17.25" x14ac:dyDescent="0.25">
      <c r="A30" t="s">
        <v>64</v>
      </c>
      <c r="B30">
        <v>2007</v>
      </c>
    </row>
    <row r="31" spans="1:8" ht="17.25" x14ac:dyDescent="0.25">
      <c r="A31" t="s">
        <v>65</v>
      </c>
      <c r="B31">
        <v>2008</v>
      </c>
    </row>
    <row r="32" spans="1:8" ht="17.25" x14ac:dyDescent="0.25">
      <c r="A32" t="s">
        <v>66</v>
      </c>
      <c r="B32">
        <v>2009</v>
      </c>
    </row>
    <row r="33" spans="1:2" ht="17.25" x14ac:dyDescent="0.25">
      <c r="A33" t="s">
        <v>67</v>
      </c>
      <c r="B33">
        <v>2010</v>
      </c>
    </row>
    <row r="34" spans="1:2" ht="17.25" x14ac:dyDescent="0.25">
      <c r="A34" t="s">
        <v>68</v>
      </c>
      <c r="B34">
        <v>2011</v>
      </c>
    </row>
    <row r="35" spans="1:2" ht="17.25" x14ac:dyDescent="0.25">
      <c r="A35" t="s">
        <v>69</v>
      </c>
      <c r="B35">
        <v>2012</v>
      </c>
    </row>
    <row r="36" spans="1:2" ht="17.25" x14ac:dyDescent="0.25">
      <c r="A36" t="s">
        <v>70</v>
      </c>
      <c r="B36">
        <v>2013</v>
      </c>
    </row>
    <row r="37" spans="1:2" ht="17.25" x14ac:dyDescent="0.25">
      <c r="A37" t="s">
        <v>71</v>
      </c>
      <c r="B37">
        <v>2014</v>
      </c>
    </row>
    <row r="38" spans="1:2" ht="17.25" x14ac:dyDescent="0.25">
      <c r="A38" t="s">
        <v>72</v>
      </c>
      <c r="B38">
        <v>2015</v>
      </c>
    </row>
    <row r="39" spans="1:2" ht="17.25" x14ac:dyDescent="0.25">
      <c r="A39" t="s">
        <v>73</v>
      </c>
      <c r="B39">
        <v>2016</v>
      </c>
    </row>
    <row r="40" spans="1:2" ht="17.25" x14ac:dyDescent="0.25">
      <c r="A40" t="s">
        <v>74</v>
      </c>
      <c r="B40">
        <v>2017</v>
      </c>
    </row>
    <row r="41" spans="1:2" ht="17.25" x14ac:dyDescent="0.25">
      <c r="A41" t="s">
        <v>75</v>
      </c>
      <c r="B41">
        <v>2018</v>
      </c>
    </row>
    <row r="42" spans="1:2" ht="17.25" x14ac:dyDescent="0.25">
      <c r="A42" t="s">
        <v>76</v>
      </c>
      <c r="B42">
        <v>2019</v>
      </c>
    </row>
    <row r="43" spans="1:2" ht="17.25" x14ac:dyDescent="0.25">
      <c r="A43" t="s">
        <v>77</v>
      </c>
      <c r="B43">
        <v>2020</v>
      </c>
    </row>
    <row r="44" spans="1:2" ht="17.25" x14ac:dyDescent="0.25">
      <c r="A44" t="s">
        <v>78</v>
      </c>
      <c r="B44">
        <v>2021</v>
      </c>
    </row>
    <row r="45" spans="1:2" ht="17.25" x14ac:dyDescent="0.25">
      <c r="A45" t="s">
        <v>79</v>
      </c>
      <c r="B45">
        <v>2022</v>
      </c>
    </row>
    <row r="46" spans="1:2" x14ac:dyDescent="0.25">
      <c r="B46">
        <v>2023</v>
      </c>
    </row>
    <row r="47" spans="1:2" x14ac:dyDescent="0.25">
      <c r="B47">
        <v>2024</v>
      </c>
    </row>
    <row r="48" spans="1:2" x14ac:dyDescent="0.25">
      <c r="B48">
        <v>2025</v>
      </c>
    </row>
    <row r="49" spans="1:8" x14ac:dyDescent="0.25">
      <c r="B49">
        <v>2026</v>
      </c>
    </row>
    <row r="50" spans="1:8" x14ac:dyDescent="0.25">
      <c r="B50">
        <v>2027</v>
      </c>
    </row>
    <row r="51" spans="1:8" x14ac:dyDescent="0.25">
      <c r="B51">
        <v>2028</v>
      </c>
    </row>
    <row r="52" spans="1:8" x14ac:dyDescent="0.25">
      <c r="B52">
        <v>2029</v>
      </c>
    </row>
    <row r="53" spans="1:8" x14ac:dyDescent="0.25">
      <c r="B53">
        <v>2030</v>
      </c>
    </row>
    <row r="54" spans="1:8" x14ac:dyDescent="0.25">
      <c r="B54">
        <v>2031</v>
      </c>
    </row>
    <row r="55" spans="1:8" x14ac:dyDescent="0.25">
      <c r="B55">
        <v>2032</v>
      </c>
    </row>
    <row r="56" spans="1:8" x14ac:dyDescent="0.25">
      <c r="B56">
        <v>2033</v>
      </c>
    </row>
    <row r="57" spans="1:8" x14ac:dyDescent="0.25">
      <c r="B57">
        <v>2034</v>
      </c>
    </row>
    <row r="58" spans="1:8" x14ac:dyDescent="0.25">
      <c r="B58">
        <v>2035</v>
      </c>
    </row>
    <row r="62" spans="1:8" x14ac:dyDescent="0.25">
      <c r="C62" s="95" t="s">
        <v>105</v>
      </c>
      <c r="D62" s="96"/>
      <c r="E62" s="96"/>
      <c r="F62" s="96"/>
    </row>
    <row r="63" spans="1:8" x14ac:dyDescent="0.25">
      <c r="C63" s="96"/>
      <c r="D63" s="96"/>
      <c r="E63" s="96"/>
      <c r="F63" s="96"/>
    </row>
    <row r="64" spans="1:8" x14ac:dyDescent="0.25">
      <c r="A64" s="5" t="s">
        <v>106</v>
      </c>
      <c r="B64" s="5" t="s">
        <v>84</v>
      </c>
      <c r="C64" s="5" t="s">
        <v>4</v>
      </c>
      <c r="D64" s="5" t="s">
        <v>85</v>
      </c>
      <c r="E64" s="5" t="s">
        <v>86</v>
      </c>
      <c r="F64" s="5" t="s">
        <v>88</v>
      </c>
      <c r="G64" s="5" t="s">
        <v>87</v>
      </c>
      <c r="H64" t="s">
        <v>5</v>
      </c>
    </row>
    <row r="65" spans="1:8" x14ac:dyDescent="0.25">
      <c r="A65" t="str">
        <f>'Import Books'!E12</f>
        <v>Shah Saad</v>
      </c>
      <c r="B65">
        <f>'Import Books'!H12</f>
        <v>0</v>
      </c>
      <c r="C65">
        <f>'Import Books'!H14</f>
        <v>0</v>
      </c>
      <c r="D65">
        <f>'Import Books'!H18</f>
        <v>0</v>
      </c>
      <c r="E65">
        <f>'Import Books'!K14</f>
        <v>0</v>
      </c>
      <c r="F65" s="61">
        <f>'Import Books'!K12</f>
        <v>45549.823359490743</v>
      </c>
      <c r="G65">
        <f>'Import Books'!K16</f>
        <v>0</v>
      </c>
      <c r="H65" t="str">
        <f>'Import Books'!H16</f>
        <v xml:space="preserve">PKR 1000  </v>
      </c>
    </row>
  </sheetData>
  <mergeCells count="5">
    <mergeCell ref="A22:B22"/>
    <mergeCell ref="C22:E22"/>
    <mergeCell ref="F22:H22"/>
    <mergeCell ref="A10:C10"/>
    <mergeCell ref="C62:F6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K142"/>
  <sheetViews>
    <sheetView topLeftCell="A71" workbookViewId="0">
      <selection activeCell="B8" sqref="B8"/>
    </sheetView>
  </sheetViews>
  <sheetFormatPr defaultRowHeight="15" x14ac:dyDescent="0.25"/>
  <cols>
    <col min="1" max="1" width="1" customWidth="1"/>
    <col min="2" max="2" width="24.7109375" customWidth="1"/>
    <col min="3" max="3" width="40.140625" customWidth="1"/>
    <col min="4" max="4" width="22.42578125" customWidth="1"/>
    <col min="5" max="5" width="13.85546875" customWidth="1"/>
    <col min="6" max="6" width="24.5703125" customWidth="1"/>
    <col min="7" max="7" width="26.42578125" customWidth="1"/>
    <col min="8" max="8" width="11.5703125" customWidth="1"/>
  </cols>
  <sheetData>
    <row r="3" spans="2:11" ht="15" customHeight="1" x14ac:dyDescent="0.25">
      <c r="B3" s="85" t="s">
        <v>21</v>
      </c>
      <c r="C3" s="86"/>
      <c r="D3" s="86"/>
      <c r="E3" s="86"/>
      <c r="F3" s="86"/>
      <c r="G3" s="86"/>
      <c r="H3" s="87"/>
      <c r="I3" s="15"/>
      <c r="J3" s="15"/>
      <c r="K3" s="15"/>
    </row>
    <row r="4" spans="2:11" x14ac:dyDescent="0.25">
      <c r="B4" s="88"/>
      <c r="C4" s="89"/>
      <c r="D4" s="89"/>
      <c r="E4" s="89"/>
      <c r="F4" s="89"/>
      <c r="G4" s="89"/>
      <c r="H4" s="90"/>
      <c r="I4" s="15"/>
      <c r="J4" s="15"/>
      <c r="K4" s="15"/>
    </row>
    <row r="5" spans="2:11" x14ac:dyDescent="0.25">
      <c r="B5" s="88"/>
      <c r="C5" s="89"/>
      <c r="D5" s="89"/>
      <c r="E5" s="89"/>
      <c r="F5" s="89"/>
      <c r="G5" s="89"/>
      <c r="H5" s="90"/>
      <c r="I5" s="15"/>
      <c r="J5" s="15"/>
      <c r="K5" s="15"/>
    </row>
    <row r="6" spans="2:11" ht="33.75" x14ac:dyDescent="0.5">
      <c r="B6" s="76"/>
      <c r="C6" s="76"/>
      <c r="D6" s="76"/>
      <c r="E6" s="76"/>
      <c r="F6" s="76"/>
      <c r="G6" s="76"/>
      <c r="H6" s="76"/>
      <c r="I6" s="15"/>
      <c r="J6" s="15"/>
      <c r="K6" s="15"/>
    </row>
    <row r="7" spans="2:11" ht="30" customHeight="1" x14ac:dyDescent="0.45">
      <c r="B7" s="13" t="s">
        <v>22</v>
      </c>
      <c r="C7" s="13" t="s">
        <v>23</v>
      </c>
      <c r="D7" s="14" t="s">
        <v>4</v>
      </c>
      <c r="E7" s="13" t="s">
        <v>2</v>
      </c>
      <c r="F7" s="51" t="s">
        <v>7</v>
      </c>
      <c r="G7" s="51" t="s">
        <v>8</v>
      </c>
      <c r="H7" s="13" t="s">
        <v>5</v>
      </c>
      <c r="I7" s="13"/>
      <c r="J7" s="13"/>
      <c r="K7" s="13"/>
    </row>
    <row r="8" spans="2:11" ht="30" customHeight="1" x14ac:dyDescent="0.45">
      <c r="B8" s="13" t="s">
        <v>123</v>
      </c>
      <c r="C8" s="13" t="s">
        <v>119</v>
      </c>
      <c r="D8" s="14" t="s">
        <v>124</v>
      </c>
      <c r="E8" s="13" t="s">
        <v>29</v>
      </c>
      <c r="F8" s="51">
        <v>45550.070022569445</v>
      </c>
      <c r="G8" s="51"/>
      <c r="H8" s="13" t="s">
        <v>19</v>
      </c>
      <c r="I8" s="13"/>
      <c r="J8" s="13"/>
      <c r="K8" s="13"/>
    </row>
    <row r="9" spans="2:11" ht="18" customHeight="1" x14ac:dyDescent="0.45">
      <c r="B9" s="48" t="s">
        <v>123</v>
      </c>
      <c r="C9" s="48" t="s">
        <v>119</v>
      </c>
      <c r="D9" s="49" t="s">
        <v>124</v>
      </c>
      <c r="E9" s="48" t="s">
        <v>29</v>
      </c>
      <c r="F9" s="50">
        <v>45550.070022569445</v>
      </c>
      <c r="G9" s="50"/>
      <c r="H9" s="48" t="s">
        <v>19</v>
      </c>
      <c r="I9" s="13"/>
      <c r="J9" s="13"/>
      <c r="K9" s="13"/>
    </row>
    <row r="10" spans="2:11" ht="18" customHeight="1" x14ac:dyDescent="0.45">
      <c r="B10" s="48" t="s">
        <v>123</v>
      </c>
      <c r="C10" s="48">
        <v>0</v>
      </c>
      <c r="D10" s="49">
        <v>0</v>
      </c>
      <c r="E10" s="48" t="s">
        <v>29</v>
      </c>
      <c r="F10" s="50">
        <v>45550.070022569445</v>
      </c>
      <c r="G10" s="50"/>
      <c r="H10" s="48" t="s">
        <v>18</v>
      </c>
      <c r="I10" s="13"/>
      <c r="J10" s="13"/>
      <c r="K10" s="13"/>
    </row>
    <row r="11" spans="2:11" ht="18" customHeight="1" x14ac:dyDescent="0.45">
      <c r="B11" s="48" t="s">
        <v>123</v>
      </c>
      <c r="C11" s="48">
        <v>0</v>
      </c>
      <c r="D11" s="49">
        <v>0</v>
      </c>
      <c r="E11" s="48" t="s">
        <v>29</v>
      </c>
      <c r="F11" s="50">
        <v>45550.070022569445</v>
      </c>
      <c r="G11" s="50"/>
      <c r="H11" s="48" t="s">
        <v>18</v>
      </c>
      <c r="I11" s="13"/>
      <c r="J11" s="13"/>
      <c r="K11" s="13"/>
    </row>
    <row r="12" spans="2:11" ht="18" customHeight="1" x14ac:dyDescent="0.45">
      <c r="B12" s="48" t="s">
        <v>118</v>
      </c>
      <c r="C12" s="48">
        <v>0</v>
      </c>
      <c r="D12" s="49">
        <v>0</v>
      </c>
      <c r="E12" s="48" t="s">
        <v>29</v>
      </c>
      <c r="F12" s="50">
        <v>0</v>
      </c>
      <c r="G12" s="50"/>
      <c r="H12" s="48" t="s">
        <v>18</v>
      </c>
      <c r="I12" s="13"/>
      <c r="J12" s="13"/>
      <c r="K12" s="13"/>
    </row>
    <row r="13" spans="2:11" ht="18" customHeight="1" x14ac:dyDescent="0.45">
      <c r="B13" s="48" t="s">
        <v>118</v>
      </c>
      <c r="C13" s="48">
        <v>0</v>
      </c>
      <c r="D13" s="49">
        <v>0</v>
      </c>
      <c r="E13" s="48" t="s">
        <v>29</v>
      </c>
      <c r="F13" s="50">
        <v>0</v>
      </c>
      <c r="G13" s="50"/>
      <c r="H13" s="48" t="s">
        <v>18</v>
      </c>
      <c r="I13" s="13"/>
      <c r="J13" s="13"/>
      <c r="K13" s="13"/>
    </row>
    <row r="14" spans="2:11" ht="18" customHeight="1" x14ac:dyDescent="0.45">
      <c r="B14" s="48" t="s">
        <v>118</v>
      </c>
      <c r="C14" s="48">
        <v>0</v>
      </c>
      <c r="D14" s="49">
        <v>0</v>
      </c>
      <c r="E14" s="48" t="s">
        <v>29</v>
      </c>
      <c r="F14" s="50">
        <v>0</v>
      </c>
      <c r="G14" s="50"/>
      <c r="H14" s="48" t="s">
        <v>18</v>
      </c>
      <c r="I14" s="13"/>
      <c r="J14" s="13"/>
      <c r="K14" s="13"/>
    </row>
    <row r="15" spans="2:11" ht="18" customHeight="1" x14ac:dyDescent="0.45">
      <c r="B15" s="48" t="s">
        <v>118</v>
      </c>
      <c r="C15" s="48">
        <v>0</v>
      </c>
      <c r="D15" s="49">
        <v>0</v>
      </c>
      <c r="E15" s="48" t="s">
        <v>29</v>
      </c>
      <c r="F15" s="50">
        <v>0</v>
      </c>
      <c r="G15" s="50"/>
      <c r="H15" s="48" t="s">
        <v>18</v>
      </c>
      <c r="I15" s="13"/>
      <c r="J15" s="13"/>
      <c r="K15" s="13"/>
    </row>
    <row r="16" spans="2:11" ht="18" customHeight="1" x14ac:dyDescent="0.45">
      <c r="B16" s="48"/>
      <c r="C16" s="48"/>
      <c r="D16" s="49"/>
      <c r="E16" s="48"/>
      <c r="F16" s="50"/>
      <c r="G16" s="50"/>
      <c r="H16" s="48"/>
      <c r="I16" s="13"/>
      <c r="J16" s="13"/>
      <c r="K16" s="13"/>
    </row>
    <row r="17" spans="2:11" ht="18" customHeight="1" x14ac:dyDescent="0.45">
      <c r="B17" s="48" t="s">
        <v>118</v>
      </c>
      <c r="C17" s="48">
        <v>0</v>
      </c>
      <c r="D17" s="49">
        <v>0</v>
      </c>
      <c r="E17" s="48" t="s">
        <v>29</v>
      </c>
      <c r="F17" s="50">
        <v>0</v>
      </c>
      <c r="G17" s="50"/>
      <c r="H17" s="48" t="s">
        <v>18</v>
      </c>
      <c r="I17" s="13"/>
      <c r="J17" s="13"/>
      <c r="K17" s="13"/>
    </row>
    <row r="18" spans="2:11" ht="18" customHeight="1" x14ac:dyDescent="0.45">
      <c r="B18" s="48" t="s">
        <v>118</v>
      </c>
      <c r="C18" s="48">
        <v>0</v>
      </c>
      <c r="D18" s="49">
        <v>0</v>
      </c>
      <c r="E18" s="48" t="s">
        <v>29</v>
      </c>
      <c r="F18" s="50">
        <v>0</v>
      </c>
      <c r="G18" s="50"/>
      <c r="H18" s="48" t="s">
        <v>18</v>
      </c>
      <c r="I18" s="13"/>
      <c r="J18" s="13"/>
      <c r="K18" s="13"/>
    </row>
    <row r="19" spans="2:11" ht="18" customHeight="1" x14ac:dyDescent="0.45">
      <c r="B19" s="48" t="s">
        <v>118</v>
      </c>
      <c r="C19" s="48">
        <v>0</v>
      </c>
      <c r="D19" s="49">
        <v>0</v>
      </c>
      <c r="E19" s="48" t="s">
        <v>29</v>
      </c>
      <c r="F19" s="50">
        <v>0</v>
      </c>
      <c r="G19" s="50"/>
      <c r="H19" s="48" t="s">
        <v>18</v>
      </c>
      <c r="I19" s="13"/>
      <c r="J19" s="13"/>
      <c r="K19" s="13"/>
    </row>
    <row r="20" spans="2:11" ht="18" customHeight="1" x14ac:dyDescent="0.45">
      <c r="B20" s="48" t="s">
        <v>118</v>
      </c>
      <c r="C20" s="48">
        <v>0</v>
      </c>
      <c r="D20" s="49">
        <v>0</v>
      </c>
      <c r="E20" s="48" t="s">
        <v>29</v>
      </c>
      <c r="F20" s="50">
        <v>0</v>
      </c>
      <c r="G20" s="50"/>
      <c r="H20" s="48" t="s">
        <v>18</v>
      </c>
      <c r="I20" s="13"/>
      <c r="J20" s="13"/>
      <c r="K20" s="13"/>
    </row>
    <row r="21" spans="2:11" ht="18" customHeight="1" x14ac:dyDescent="0.45">
      <c r="B21" s="48" t="s">
        <v>118</v>
      </c>
      <c r="C21" s="48">
        <v>0</v>
      </c>
      <c r="D21" s="49">
        <v>0</v>
      </c>
      <c r="E21" s="48" t="s">
        <v>29</v>
      </c>
      <c r="F21" s="50">
        <v>0</v>
      </c>
      <c r="G21" s="50"/>
      <c r="H21" s="48" t="s">
        <v>18</v>
      </c>
      <c r="I21" s="13"/>
      <c r="J21" s="13"/>
      <c r="K21" s="13"/>
    </row>
    <row r="22" spans="2:11" ht="18" customHeight="1" x14ac:dyDescent="0.45">
      <c r="B22" s="48" t="s">
        <v>118</v>
      </c>
      <c r="C22" s="48" t="s">
        <v>119</v>
      </c>
      <c r="D22" s="49" t="s">
        <v>120</v>
      </c>
      <c r="E22" s="48" t="s">
        <v>29</v>
      </c>
      <c r="F22" s="50">
        <v>0</v>
      </c>
      <c r="G22" s="50"/>
      <c r="H22" s="48" t="s">
        <v>18</v>
      </c>
      <c r="I22" s="13"/>
      <c r="J22" s="13"/>
      <c r="K22" s="13"/>
    </row>
    <row r="23" spans="2:11" ht="18" customHeight="1" x14ac:dyDescent="0.45">
      <c r="B23" s="48" t="s">
        <v>36</v>
      </c>
      <c r="C23" s="48">
        <v>0</v>
      </c>
      <c r="D23" s="49">
        <v>0</v>
      </c>
      <c r="E23" s="48" t="s">
        <v>115</v>
      </c>
      <c r="F23" s="50">
        <v>0</v>
      </c>
      <c r="G23" s="50"/>
      <c r="H23" s="48" t="s">
        <v>18</v>
      </c>
      <c r="I23" s="13"/>
      <c r="J23" s="13"/>
      <c r="K23" s="13"/>
    </row>
    <row r="24" spans="2:11" ht="18" customHeight="1" x14ac:dyDescent="0.45">
      <c r="B24" s="48" t="s">
        <v>36</v>
      </c>
      <c r="C24" s="48">
        <v>0</v>
      </c>
      <c r="D24" s="49">
        <v>0</v>
      </c>
      <c r="E24" s="48" t="s">
        <v>115</v>
      </c>
      <c r="F24" s="50">
        <v>0</v>
      </c>
      <c r="G24" s="50"/>
      <c r="H24" s="48" t="s">
        <v>18</v>
      </c>
      <c r="I24" s="13"/>
      <c r="J24" s="13"/>
      <c r="K24" s="13"/>
    </row>
    <row r="25" spans="2:11" ht="18" customHeight="1" x14ac:dyDescent="0.45">
      <c r="B25" s="48" t="s">
        <v>36</v>
      </c>
      <c r="C25" s="48">
        <v>0</v>
      </c>
      <c r="D25" s="49">
        <v>0</v>
      </c>
      <c r="E25" s="48" t="s">
        <v>115</v>
      </c>
      <c r="F25" s="50">
        <v>0</v>
      </c>
      <c r="G25" s="50"/>
      <c r="H25" s="48" t="s">
        <v>18</v>
      </c>
      <c r="I25" s="13"/>
      <c r="J25" s="13"/>
      <c r="K25" s="13"/>
    </row>
    <row r="26" spans="2:11" ht="18" customHeight="1" x14ac:dyDescent="0.45">
      <c r="B26" s="48" t="s">
        <v>36</v>
      </c>
      <c r="C26" s="48">
        <v>0</v>
      </c>
      <c r="D26" s="49">
        <v>0</v>
      </c>
      <c r="E26" s="48" t="s">
        <v>115</v>
      </c>
      <c r="F26" s="50">
        <v>0</v>
      </c>
      <c r="G26" s="50"/>
      <c r="H26" s="48" t="s">
        <v>18</v>
      </c>
      <c r="I26" s="13"/>
      <c r="J26" s="13"/>
      <c r="K26" s="13"/>
    </row>
    <row r="27" spans="2:11" ht="18" customHeight="1" x14ac:dyDescent="0.45">
      <c r="B27" s="48" t="s">
        <v>36</v>
      </c>
      <c r="C27" s="48">
        <v>0</v>
      </c>
      <c r="D27" s="49">
        <v>0</v>
      </c>
      <c r="E27" s="48" t="s">
        <v>115</v>
      </c>
      <c r="F27" s="50">
        <v>0</v>
      </c>
      <c r="G27" s="50"/>
      <c r="H27" s="48" t="s">
        <v>18</v>
      </c>
      <c r="I27" s="13"/>
      <c r="J27" s="13"/>
      <c r="K27" s="13"/>
    </row>
    <row r="28" spans="2:11" ht="18" customHeight="1" x14ac:dyDescent="0.45">
      <c r="B28" s="48" t="s">
        <v>36</v>
      </c>
      <c r="C28" s="48">
        <v>0</v>
      </c>
      <c r="D28" s="49">
        <v>0</v>
      </c>
      <c r="E28" s="48" t="s">
        <v>115</v>
      </c>
      <c r="F28" s="50">
        <v>0</v>
      </c>
      <c r="G28" s="50"/>
      <c r="H28" s="48" t="s">
        <v>18</v>
      </c>
      <c r="I28" s="13"/>
      <c r="J28" s="13"/>
      <c r="K28" s="13"/>
    </row>
    <row r="29" spans="2:11" ht="18" customHeight="1" x14ac:dyDescent="0.45">
      <c r="B29" s="48" t="s">
        <v>36</v>
      </c>
      <c r="C29" s="48">
        <v>0</v>
      </c>
      <c r="D29" s="49">
        <v>0</v>
      </c>
      <c r="E29" s="48" t="s">
        <v>115</v>
      </c>
      <c r="F29" s="50">
        <v>0</v>
      </c>
      <c r="G29" s="50"/>
      <c r="H29" s="48" t="s">
        <v>18</v>
      </c>
      <c r="I29" s="13"/>
      <c r="J29" s="13"/>
      <c r="K29" s="13"/>
    </row>
    <row r="30" spans="2:11" ht="18" customHeight="1" x14ac:dyDescent="0.45">
      <c r="B30" s="48" t="s">
        <v>36</v>
      </c>
      <c r="C30" s="48">
        <v>0</v>
      </c>
      <c r="D30" s="49">
        <v>0</v>
      </c>
      <c r="E30" s="48" t="s">
        <v>115</v>
      </c>
      <c r="F30" s="50">
        <v>0</v>
      </c>
      <c r="G30" s="50"/>
      <c r="H30" s="48" t="s">
        <v>18</v>
      </c>
      <c r="I30" s="13"/>
      <c r="J30" s="13"/>
      <c r="K30" s="13"/>
    </row>
    <row r="31" spans="2:11" ht="18" customHeight="1" x14ac:dyDescent="0.45">
      <c r="B31" s="48" t="s">
        <v>36</v>
      </c>
      <c r="C31" s="48">
        <v>0</v>
      </c>
      <c r="D31" s="49">
        <v>0</v>
      </c>
      <c r="E31" s="48" t="s">
        <v>115</v>
      </c>
      <c r="F31" s="50">
        <v>0</v>
      </c>
      <c r="G31" s="50"/>
      <c r="H31" s="48" t="s">
        <v>18</v>
      </c>
      <c r="I31" s="13"/>
      <c r="J31" s="13"/>
      <c r="K31" s="13"/>
    </row>
    <row r="32" spans="2:11" ht="18" customHeight="1" x14ac:dyDescent="0.45">
      <c r="B32" s="48" t="s">
        <v>36</v>
      </c>
      <c r="C32" s="48">
        <v>0</v>
      </c>
      <c r="D32" s="49">
        <v>0</v>
      </c>
      <c r="E32" s="48" t="s">
        <v>115</v>
      </c>
      <c r="F32" s="50">
        <v>0</v>
      </c>
      <c r="G32" s="50"/>
      <c r="H32" s="48" t="s">
        <v>18</v>
      </c>
      <c r="I32" s="13"/>
      <c r="J32" s="13"/>
      <c r="K32" s="13"/>
    </row>
    <row r="33" spans="2:11" ht="18" customHeight="1" x14ac:dyDescent="0.45">
      <c r="B33" s="48" t="s">
        <v>36</v>
      </c>
      <c r="C33" s="48">
        <v>0</v>
      </c>
      <c r="D33" s="49">
        <v>0</v>
      </c>
      <c r="E33" s="48" t="s">
        <v>115</v>
      </c>
      <c r="F33" s="50">
        <v>0</v>
      </c>
      <c r="G33" s="50"/>
      <c r="H33" s="48" t="s">
        <v>18</v>
      </c>
      <c r="I33" s="13"/>
      <c r="J33" s="13"/>
      <c r="K33" s="13"/>
    </row>
    <row r="34" spans="2:11" ht="18" customHeight="1" x14ac:dyDescent="0.45">
      <c r="B34" s="48" t="s">
        <v>36</v>
      </c>
      <c r="C34" s="48">
        <v>0</v>
      </c>
      <c r="D34" s="49">
        <v>0</v>
      </c>
      <c r="E34" s="48" t="s">
        <v>115</v>
      </c>
      <c r="F34" s="50">
        <v>0</v>
      </c>
      <c r="G34" s="50"/>
      <c r="H34" s="48" t="s">
        <v>18</v>
      </c>
      <c r="I34" s="13"/>
      <c r="J34" s="13"/>
      <c r="K34" s="13"/>
    </row>
    <row r="35" spans="2:11" ht="18" customHeight="1" x14ac:dyDescent="0.45">
      <c r="B35" s="48" t="s">
        <v>36</v>
      </c>
      <c r="C35" s="48">
        <v>0</v>
      </c>
      <c r="D35" s="49">
        <v>0</v>
      </c>
      <c r="E35" s="48" t="s">
        <v>115</v>
      </c>
      <c r="F35" s="50">
        <v>0</v>
      </c>
      <c r="G35" s="50"/>
      <c r="H35" s="48" t="s">
        <v>18</v>
      </c>
      <c r="I35" s="13"/>
      <c r="J35" s="13"/>
      <c r="K35" s="13"/>
    </row>
    <row r="36" spans="2:11" ht="18" customHeight="1" x14ac:dyDescent="0.45">
      <c r="B36" s="48" t="s">
        <v>36</v>
      </c>
      <c r="C36" s="48">
        <v>0</v>
      </c>
      <c r="D36" s="49">
        <v>0</v>
      </c>
      <c r="E36" s="48" t="s">
        <v>115</v>
      </c>
      <c r="F36" s="50">
        <v>0</v>
      </c>
      <c r="G36" s="50"/>
      <c r="H36" s="48" t="s">
        <v>18</v>
      </c>
      <c r="I36" s="13"/>
      <c r="J36" s="13"/>
      <c r="K36" s="13"/>
    </row>
    <row r="37" spans="2:11" ht="18" customHeight="1" x14ac:dyDescent="0.45">
      <c r="B37" s="48" t="s">
        <v>36</v>
      </c>
      <c r="C37" s="48" t="s">
        <v>116</v>
      </c>
      <c r="D37" s="49" t="s">
        <v>117</v>
      </c>
      <c r="E37" s="48" t="s">
        <v>115</v>
      </c>
      <c r="F37" s="50">
        <v>0</v>
      </c>
      <c r="G37" s="50"/>
      <c r="H37" s="48" t="s">
        <v>18</v>
      </c>
      <c r="I37" s="13"/>
      <c r="J37" s="13"/>
      <c r="K37" s="13"/>
    </row>
    <row r="38" spans="2:11" ht="18" customHeight="1" x14ac:dyDescent="0.45">
      <c r="B38" s="48">
        <v>0</v>
      </c>
      <c r="C38" s="48">
        <v>0</v>
      </c>
      <c r="D38" s="49">
        <v>0</v>
      </c>
      <c r="E38" s="48">
        <v>0</v>
      </c>
      <c r="F38" s="50">
        <v>0</v>
      </c>
      <c r="G38" s="50"/>
      <c r="H38" s="48">
        <v>0</v>
      </c>
      <c r="I38" s="13"/>
      <c r="J38" s="13"/>
      <c r="K38" s="13"/>
    </row>
    <row r="39" spans="2:11" ht="18" customHeight="1" x14ac:dyDescent="0.45">
      <c r="B39" s="48"/>
      <c r="C39" s="48"/>
      <c r="D39" s="49"/>
      <c r="E39" s="48"/>
      <c r="F39" s="50"/>
      <c r="G39" s="50"/>
      <c r="H39" s="48"/>
      <c r="I39" s="13"/>
      <c r="J39" s="13"/>
      <c r="K39" s="13"/>
    </row>
    <row r="40" spans="2:11" ht="16.5" customHeight="1" x14ac:dyDescent="0.45">
      <c r="B40" s="48">
        <v>0</v>
      </c>
      <c r="C40" s="48">
        <v>0</v>
      </c>
      <c r="D40" s="48">
        <v>0</v>
      </c>
      <c r="E40" s="48">
        <v>0</v>
      </c>
      <c r="F40" s="50">
        <v>0</v>
      </c>
      <c r="G40" s="50"/>
      <c r="H40" s="48">
        <v>0</v>
      </c>
      <c r="I40" s="13"/>
      <c r="J40" s="13"/>
      <c r="K40" s="13"/>
    </row>
    <row r="41" spans="2:11" ht="15" customHeight="1" x14ac:dyDescent="0.45">
      <c r="B41" s="48" t="s">
        <v>28</v>
      </c>
      <c r="C41" s="48">
        <v>0</v>
      </c>
      <c r="D41" s="49">
        <v>0</v>
      </c>
      <c r="E41" s="48" t="s">
        <v>29</v>
      </c>
      <c r="F41" s="50">
        <v>0</v>
      </c>
      <c r="G41" s="50"/>
      <c r="H41" s="48" t="s">
        <v>17</v>
      </c>
      <c r="I41" s="13"/>
      <c r="J41" s="13"/>
      <c r="K41" s="13"/>
    </row>
    <row r="42" spans="2:11" ht="15" customHeight="1" x14ac:dyDescent="0.45">
      <c r="B42" s="48" t="s">
        <v>28</v>
      </c>
      <c r="C42" s="48" t="s">
        <v>90</v>
      </c>
      <c r="D42" s="49" t="s">
        <v>110</v>
      </c>
      <c r="E42" s="48" t="s">
        <v>29</v>
      </c>
      <c r="F42" s="50">
        <v>0</v>
      </c>
      <c r="G42" s="50"/>
      <c r="H42" s="48" t="s">
        <v>17</v>
      </c>
      <c r="I42" s="13"/>
      <c r="J42" s="13"/>
      <c r="K42" s="13"/>
    </row>
    <row r="43" spans="2:11" ht="15" customHeight="1" x14ac:dyDescent="0.45">
      <c r="B43" s="48" t="s">
        <v>28</v>
      </c>
      <c r="C43" s="48" t="s">
        <v>103</v>
      </c>
      <c r="D43" s="49" t="s">
        <v>104</v>
      </c>
      <c r="E43" s="48" t="s">
        <v>29</v>
      </c>
      <c r="F43" s="50">
        <v>0</v>
      </c>
      <c r="G43" s="50"/>
      <c r="H43" s="48" t="s">
        <v>20</v>
      </c>
      <c r="I43" s="13"/>
      <c r="J43" s="13"/>
      <c r="K43" s="13"/>
    </row>
    <row r="44" spans="2:11" ht="15" customHeight="1" x14ac:dyDescent="0.45">
      <c r="B44" s="48" t="s">
        <v>28</v>
      </c>
      <c r="C44" s="48" t="s">
        <v>101</v>
      </c>
      <c r="D44" s="49" t="s">
        <v>102</v>
      </c>
      <c r="E44" s="48" t="s">
        <v>29</v>
      </c>
      <c r="F44" s="50">
        <v>0</v>
      </c>
      <c r="G44" s="50"/>
      <c r="H44" s="48" t="s">
        <v>16</v>
      </c>
      <c r="I44" s="13"/>
      <c r="J44" s="13"/>
      <c r="K44" s="13"/>
    </row>
    <row r="45" spans="2:11" ht="15" customHeight="1" x14ac:dyDescent="0.45">
      <c r="B45" s="48" t="s">
        <v>28</v>
      </c>
      <c r="C45" s="48" t="s">
        <v>98</v>
      </c>
      <c r="D45" s="49" t="s">
        <v>100</v>
      </c>
      <c r="E45" s="48" t="s">
        <v>29</v>
      </c>
      <c r="F45" s="50">
        <v>0</v>
      </c>
      <c r="G45" s="50"/>
      <c r="H45" s="48" t="s">
        <v>16</v>
      </c>
      <c r="I45" s="13"/>
      <c r="J45" s="13"/>
      <c r="K45" s="13"/>
    </row>
    <row r="46" spans="2:11" ht="15" customHeight="1" x14ac:dyDescent="0.45">
      <c r="B46" s="48" t="s">
        <v>28</v>
      </c>
      <c r="C46" s="48">
        <v>0</v>
      </c>
      <c r="D46" s="49">
        <v>0</v>
      </c>
      <c r="E46" s="48" t="s">
        <v>29</v>
      </c>
      <c r="F46" s="50">
        <v>0</v>
      </c>
      <c r="G46" s="50"/>
      <c r="H46" s="48" t="s">
        <v>16</v>
      </c>
      <c r="I46" s="13"/>
      <c r="J46" s="13"/>
      <c r="K46" s="13"/>
    </row>
    <row r="47" spans="2:11" ht="15" customHeight="1" x14ac:dyDescent="0.45">
      <c r="B47" s="48" t="s">
        <v>28</v>
      </c>
      <c r="C47" s="48">
        <v>0</v>
      </c>
      <c r="D47" s="49">
        <v>0</v>
      </c>
      <c r="E47" s="48" t="s">
        <v>29</v>
      </c>
      <c r="F47" s="50">
        <v>0</v>
      </c>
      <c r="G47" s="50"/>
      <c r="H47" t="e">
        <f>'Borrow Form'!#REF!</f>
        <v>#REF!</v>
      </c>
      <c r="I47" s="13"/>
      <c r="J47" s="13"/>
      <c r="K47" s="13"/>
    </row>
    <row r="48" spans="2:11" ht="15" customHeight="1" x14ac:dyDescent="0.45">
      <c r="B48" s="48" t="s">
        <v>28</v>
      </c>
      <c r="C48" s="48">
        <v>0</v>
      </c>
      <c r="D48" s="49">
        <v>0</v>
      </c>
      <c r="E48" s="48" t="s">
        <v>29</v>
      </c>
      <c r="F48" s="50">
        <v>0</v>
      </c>
      <c r="G48" s="50"/>
      <c r="H48" t="e">
        <f>'Borrow Form'!#REF!</f>
        <v>#REF!</v>
      </c>
      <c r="I48" s="13"/>
      <c r="J48" s="13"/>
      <c r="K48" s="13"/>
    </row>
    <row r="49" spans="2:11" ht="15" customHeight="1" x14ac:dyDescent="0.45">
      <c r="B49" s="48" t="s">
        <v>28</v>
      </c>
      <c r="C49" s="48">
        <v>0</v>
      </c>
      <c r="D49" s="49">
        <v>0</v>
      </c>
      <c r="E49" s="48" t="s">
        <v>29</v>
      </c>
      <c r="F49" s="50">
        <v>0</v>
      </c>
      <c r="G49" s="50"/>
      <c r="H49" t="e">
        <f>'Borrow Form'!#REF!</f>
        <v>#REF!</v>
      </c>
      <c r="I49" s="13"/>
      <c r="J49" s="13"/>
      <c r="K49" s="13"/>
    </row>
    <row r="50" spans="2:11" ht="15" customHeight="1" x14ac:dyDescent="0.45">
      <c r="B50" s="48" t="s">
        <v>28</v>
      </c>
      <c r="C50" s="48" t="s">
        <v>98</v>
      </c>
      <c r="D50" s="49" t="s">
        <v>99</v>
      </c>
      <c r="E50" s="48" t="s">
        <v>29</v>
      </c>
      <c r="F50" s="50">
        <v>0</v>
      </c>
      <c r="G50" s="50"/>
      <c r="H50" t="e">
        <f>'Borrow Form'!#REF!</f>
        <v>#REF!</v>
      </c>
      <c r="I50" s="13"/>
      <c r="J50" s="13"/>
      <c r="K50" s="13"/>
    </row>
    <row r="51" spans="2:11" ht="15" customHeight="1" x14ac:dyDescent="0.45">
      <c r="B51" s="48" t="s">
        <v>28</v>
      </c>
      <c r="C51" s="48" t="s">
        <v>96</v>
      </c>
      <c r="D51" s="49" t="s">
        <v>97</v>
      </c>
      <c r="E51" s="48" t="s">
        <v>29</v>
      </c>
      <c r="F51" s="50">
        <v>0</v>
      </c>
      <c r="G51" s="50"/>
      <c r="H51">
        <f>D4</f>
        <v>0</v>
      </c>
      <c r="I51" s="13"/>
      <c r="J51" s="13"/>
      <c r="K51" s="13"/>
    </row>
    <row r="52" spans="2:11" ht="15" customHeight="1" x14ac:dyDescent="0.45">
      <c r="B52" s="48" t="s">
        <v>28</v>
      </c>
      <c r="C52" s="48" t="s">
        <v>94</v>
      </c>
      <c r="D52" s="49" t="s">
        <v>95</v>
      </c>
      <c r="E52" s="48" t="s">
        <v>29</v>
      </c>
      <c r="F52" s="50">
        <v>0</v>
      </c>
      <c r="G52" s="50"/>
      <c r="H52">
        <f>D4</f>
        <v>0</v>
      </c>
      <c r="I52" s="13"/>
      <c r="J52" s="13"/>
      <c r="K52" s="13"/>
    </row>
    <row r="53" spans="2:11" ht="15" customHeight="1" x14ac:dyDescent="0.45">
      <c r="B53" s="48" t="s">
        <v>28</v>
      </c>
      <c r="C53" s="48" t="s">
        <v>92</v>
      </c>
      <c r="D53" s="49" t="s">
        <v>93</v>
      </c>
      <c r="E53" s="48" t="s">
        <v>29</v>
      </c>
      <c r="F53" s="50">
        <v>0</v>
      </c>
      <c r="G53" s="50"/>
      <c r="H53">
        <f>D4</f>
        <v>0</v>
      </c>
      <c r="I53" s="13"/>
      <c r="J53" s="13"/>
      <c r="K53" s="13"/>
    </row>
    <row r="54" spans="2:11" ht="15" customHeight="1" x14ac:dyDescent="0.45">
      <c r="B54" s="48" t="s">
        <v>28</v>
      </c>
      <c r="C54" s="48" t="s">
        <v>90</v>
      </c>
      <c r="D54" s="49" t="s">
        <v>91</v>
      </c>
      <c r="E54" s="48" t="s">
        <v>29</v>
      </c>
      <c r="F54" s="50">
        <v>45542.033618518515</v>
      </c>
      <c r="G54" s="50"/>
      <c r="H54" t="s">
        <v>16</v>
      </c>
      <c r="I54" s="13"/>
      <c r="J54" s="13"/>
      <c r="K54" s="13"/>
    </row>
    <row r="55" spans="2:11" ht="15" customHeight="1" x14ac:dyDescent="0.45">
      <c r="B55" s="48" t="s">
        <v>28</v>
      </c>
      <c r="C55" s="48" t="s">
        <v>90</v>
      </c>
      <c r="D55" s="49" t="s">
        <v>91</v>
      </c>
      <c r="E55" s="48" t="s">
        <v>29</v>
      </c>
      <c r="F55" s="50">
        <v>45542.033618518515</v>
      </c>
      <c r="G55" s="50"/>
      <c r="H55" t="s">
        <v>16</v>
      </c>
      <c r="I55" s="13"/>
      <c r="J55" s="13"/>
      <c r="K55" s="13"/>
    </row>
    <row r="56" spans="2:11" ht="15" customHeight="1" x14ac:dyDescent="0.45">
      <c r="B56" s="48" t="s">
        <v>28</v>
      </c>
      <c r="C56" s="48" t="s">
        <v>90</v>
      </c>
      <c r="D56" s="49" t="s">
        <v>91</v>
      </c>
      <c r="E56" s="48" t="s">
        <v>29</v>
      </c>
      <c r="F56" s="50">
        <v>45542.033618518515</v>
      </c>
      <c r="G56" s="50"/>
      <c r="H56" t="s">
        <v>16</v>
      </c>
      <c r="I56" s="13"/>
      <c r="J56" s="13"/>
      <c r="K56" s="13"/>
    </row>
    <row r="57" spans="2:11" ht="15" customHeight="1" x14ac:dyDescent="0.45">
      <c r="B57" s="48" t="s">
        <v>28</v>
      </c>
      <c r="C57" s="48" t="s">
        <v>90</v>
      </c>
      <c r="D57" s="49" t="s">
        <v>91</v>
      </c>
      <c r="E57" s="48" t="s">
        <v>29</v>
      </c>
      <c r="F57" s="50">
        <v>45542.033618518515</v>
      </c>
      <c r="G57" s="50"/>
      <c r="H57" t="s">
        <v>16</v>
      </c>
      <c r="I57" s="13"/>
      <c r="J57" s="13"/>
      <c r="K57" s="13"/>
    </row>
    <row r="58" spans="2:11" ht="15" customHeight="1" x14ac:dyDescent="0.45">
      <c r="B58" s="48" t="s">
        <v>28</v>
      </c>
      <c r="C58" s="48" t="s">
        <v>90</v>
      </c>
      <c r="D58" s="49" t="s">
        <v>91</v>
      </c>
      <c r="E58" s="48" t="s">
        <v>29</v>
      </c>
      <c r="F58" s="50">
        <v>45542.033618518515</v>
      </c>
      <c r="G58" s="50"/>
      <c r="H58" t="s">
        <v>16</v>
      </c>
      <c r="I58" s="13"/>
      <c r="J58" s="13"/>
      <c r="K58" s="13"/>
    </row>
    <row r="59" spans="2:11" ht="15" customHeight="1" x14ac:dyDescent="0.45">
      <c r="B59" s="48" t="s">
        <v>28</v>
      </c>
      <c r="C59" s="48" t="s">
        <v>90</v>
      </c>
      <c r="D59" s="49" t="s">
        <v>91</v>
      </c>
      <c r="E59" s="48" t="s">
        <v>29</v>
      </c>
      <c r="F59" s="50">
        <v>45542.033618518515</v>
      </c>
      <c r="G59" s="48"/>
      <c r="H59" t="s">
        <v>16</v>
      </c>
      <c r="I59" s="13"/>
      <c r="J59" s="13"/>
      <c r="K59" s="13"/>
    </row>
    <row r="60" spans="2:11" ht="15" customHeight="1" x14ac:dyDescent="0.45">
      <c r="B60" s="48" t="s">
        <v>28</v>
      </c>
      <c r="C60" s="48" t="s">
        <v>90</v>
      </c>
      <c r="D60" s="49" t="s">
        <v>91</v>
      </c>
      <c r="E60" s="48" t="s">
        <v>29</v>
      </c>
      <c r="F60" s="48">
        <v>45542.033618518515</v>
      </c>
      <c r="G60" s="48"/>
      <c r="H60" t="s">
        <v>16</v>
      </c>
      <c r="I60" s="13"/>
      <c r="J60" s="13"/>
      <c r="K60" s="13"/>
    </row>
    <row r="61" spans="2:11" ht="17.25" customHeight="1" x14ac:dyDescent="0.45">
      <c r="B61" s="48" t="s">
        <v>28</v>
      </c>
      <c r="C61" s="48" t="s">
        <v>90</v>
      </c>
      <c r="D61" s="49" t="s">
        <v>91</v>
      </c>
      <c r="E61" s="48" t="s">
        <v>29</v>
      </c>
      <c r="F61" s="48">
        <v>45542.033618518515</v>
      </c>
      <c r="G61" s="48"/>
      <c r="H61" s="48" t="s">
        <v>16</v>
      </c>
      <c r="I61" s="13"/>
      <c r="J61" s="13"/>
      <c r="K61" s="13"/>
    </row>
    <row r="62" spans="2:11" ht="16.5" customHeight="1" x14ac:dyDescent="0.45">
      <c r="B62" s="48" t="s">
        <v>16</v>
      </c>
      <c r="C62" s="48"/>
      <c r="D62" s="49"/>
      <c r="E62" s="48"/>
      <c r="F62" s="48"/>
      <c r="G62" s="48"/>
      <c r="H62" s="48" t="s">
        <v>16</v>
      </c>
      <c r="I62" s="13"/>
      <c r="J62" s="13"/>
      <c r="K62" s="13"/>
    </row>
    <row r="63" spans="2:11" ht="16.5" customHeight="1" x14ac:dyDescent="0.45">
      <c r="B63" s="48" t="s">
        <v>16</v>
      </c>
      <c r="C63" s="48"/>
      <c r="D63" s="49"/>
      <c r="E63" s="48"/>
      <c r="F63" s="48"/>
      <c r="G63" s="48"/>
      <c r="H63" s="48" t="s">
        <v>16</v>
      </c>
      <c r="I63" s="13"/>
      <c r="J63" s="13"/>
      <c r="K63" s="13"/>
    </row>
    <row r="64" spans="2:11" ht="16.5" customHeight="1" x14ac:dyDescent="0.45">
      <c r="B64" s="48" t="s">
        <v>28</v>
      </c>
      <c r="C64" s="48" t="s">
        <v>90</v>
      </c>
      <c r="D64" s="49" t="s">
        <v>91</v>
      </c>
      <c r="E64" s="48" t="s">
        <v>29</v>
      </c>
      <c r="F64" s="48">
        <v>45542.033618518515</v>
      </c>
      <c r="G64" s="48"/>
      <c r="H64" s="48" t="s">
        <v>16</v>
      </c>
      <c r="I64" s="13"/>
      <c r="J64" s="13"/>
      <c r="K64" s="13"/>
    </row>
    <row r="65" spans="2:11" ht="15.75" hidden="1" customHeight="1" x14ac:dyDescent="0.45">
      <c r="B65" s="48"/>
      <c r="C65" s="48"/>
      <c r="D65" s="49"/>
      <c r="E65" s="48"/>
      <c r="F65" s="48"/>
      <c r="G65" s="48"/>
      <c r="H65" s="48"/>
      <c r="I65" s="13"/>
      <c r="J65" s="13"/>
      <c r="K65" s="13"/>
    </row>
    <row r="66" spans="2:11" ht="15" hidden="1" customHeight="1" x14ac:dyDescent="0.45">
      <c r="B66" s="48"/>
      <c r="C66" s="13"/>
      <c r="D66" s="14"/>
      <c r="E66" s="13"/>
      <c r="F66" s="13"/>
      <c r="G66" s="13"/>
      <c r="H66" s="13"/>
      <c r="I66" s="13"/>
      <c r="J66" s="13"/>
      <c r="K66" s="13"/>
    </row>
    <row r="67" spans="2:11" ht="15.75" hidden="1" customHeight="1" x14ac:dyDescent="0.45">
      <c r="B67" s="48"/>
      <c r="C67" s="48"/>
      <c r="D67" s="49"/>
      <c r="E67" s="48"/>
      <c r="F67" s="48"/>
      <c r="G67" s="48"/>
      <c r="H67" s="48"/>
      <c r="I67" s="13"/>
      <c r="J67" s="13"/>
      <c r="K67" s="13"/>
    </row>
    <row r="68" spans="2:11" ht="18" customHeight="1" x14ac:dyDescent="0.45">
      <c r="B68" s="48" t="s">
        <v>28</v>
      </c>
      <c r="C68" s="48" t="s">
        <v>90</v>
      </c>
      <c r="D68" s="49" t="s">
        <v>91</v>
      </c>
      <c r="E68" s="48" t="s">
        <v>29</v>
      </c>
      <c r="F68" s="48">
        <v>45542.033618518515</v>
      </c>
      <c r="G68" s="48"/>
      <c r="H68" s="49" t="s">
        <v>16</v>
      </c>
      <c r="I68" s="13"/>
      <c r="J68" s="13"/>
      <c r="K68" s="13"/>
    </row>
    <row r="69" spans="2:11" ht="16.5" customHeight="1" x14ac:dyDescent="0.45">
      <c r="B69" s="48" t="s">
        <v>28</v>
      </c>
      <c r="C69" s="48" t="s">
        <v>90</v>
      </c>
      <c r="D69" s="49" t="s">
        <v>91</v>
      </c>
      <c r="E69" s="48" t="s">
        <v>29</v>
      </c>
      <c r="F69" s="48">
        <v>45542.033618518515</v>
      </c>
      <c r="G69" s="48"/>
      <c r="H69" s="49" t="s">
        <v>16</v>
      </c>
      <c r="I69" s="13"/>
      <c r="J69" s="13"/>
      <c r="K69" s="13"/>
    </row>
    <row r="70" spans="2:11" ht="16.5" customHeight="1" x14ac:dyDescent="0.45">
      <c r="B70" s="48" t="s">
        <v>28</v>
      </c>
      <c r="C70" s="48" t="s">
        <v>90</v>
      </c>
      <c r="D70" s="49" t="s">
        <v>91</v>
      </c>
      <c r="E70" s="48" t="s">
        <v>29</v>
      </c>
      <c r="F70" s="48">
        <v>45542.033618518515</v>
      </c>
      <c r="G70" s="48"/>
      <c r="H70" s="49" t="s">
        <v>16</v>
      </c>
      <c r="I70" s="13"/>
      <c r="J70" s="13"/>
      <c r="K70" s="13"/>
    </row>
    <row r="71" spans="2:11" ht="19.5" customHeight="1" x14ac:dyDescent="0.45">
      <c r="B71" s="48" t="s">
        <v>28</v>
      </c>
      <c r="C71" s="48" t="s">
        <v>90</v>
      </c>
      <c r="D71" s="49" t="s">
        <v>91</v>
      </c>
      <c r="E71" s="48" t="s">
        <v>29</v>
      </c>
      <c r="F71" s="48"/>
      <c r="G71" s="48"/>
      <c r="H71" s="48"/>
      <c r="I71" s="13"/>
      <c r="J71" s="13"/>
      <c r="K71" s="13"/>
    </row>
    <row r="72" spans="2:11" ht="15.75" customHeight="1" x14ac:dyDescent="0.45">
      <c r="B72" s="48" t="s">
        <v>44</v>
      </c>
      <c r="C72" s="48">
        <v>0</v>
      </c>
      <c r="D72" s="49">
        <v>0</v>
      </c>
      <c r="E72" s="48" t="s">
        <v>29</v>
      </c>
      <c r="F72" s="48"/>
      <c r="G72" s="48"/>
      <c r="H72" s="48"/>
      <c r="I72" s="13"/>
      <c r="J72" s="13"/>
      <c r="K72" s="13"/>
    </row>
    <row r="73" spans="2:11" x14ac:dyDescent="0.25">
      <c r="B73" t="s">
        <v>44</v>
      </c>
      <c r="C73">
        <v>0</v>
      </c>
      <c r="D73">
        <v>0</v>
      </c>
      <c r="E73" t="s">
        <v>29</v>
      </c>
      <c r="F73">
        <v>45546.160797453704</v>
      </c>
      <c r="G73">
        <v>45547.167154282404</v>
      </c>
      <c r="H73" t="s">
        <v>18</v>
      </c>
    </row>
    <row r="74" spans="2:11" x14ac:dyDescent="0.25">
      <c r="B74" t="s">
        <v>44</v>
      </c>
      <c r="C74">
        <v>0</v>
      </c>
      <c r="D74">
        <v>0</v>
      </c>
      <c r="E74" t="s">
        <v>29</v>
      </c>
      <c r="F74">
        <v>45546.160797453704</v>
      </c>
      <c r="G74">
        <v>0</v>
      </c>
      <c r="H74" t="s">
        <v>18</v>
      </c>
    </row>
    <row r="75" spans="2:11" x14ac:dyDescent="0.25">
      <c r="B75" t="s">
        <v>44</v>
      </c>
      <c r="C75">
        <v>0</v>
      </c>
      <c r="D75">
        <v>0</v>
      </c>
      <c r="E75" t="s">
        <v>29</v>
      </c>
      <c r="F75">
        <v>45546.160797453704</v>
      </c>
      <c r="G75">
        <v>0</v>
      </c>
      <c r="H75" t="s">
        <v>18</v>
      </c>
    </row>
    <row r="76" spans="2:11" x14ac:dyDescent="0.25">
      <c r="B76" t="s">
        <v>44</v>
      </c>
      <c r="C76">
        <v>0</v>
      </c>
      <c r="D76">
        <v>0</v>
      </c>
      <c r="E76" t="s">
        <v>29</v>
      </c>
      <c r="F76">
        <v>45546.160797453704</v>
      </c>
      <c r="G76">
        <v>0</v>
      </c>
      <c r="H76" t="s">
        <v>18</v>
      </c>
    </row>
    <row r="77" spans="2:11" x14ac:dyDescent="0.25">
      <c r="B77" t="s">
        <v>44</v>
      </c>
      <c r="C77">
        <v>0</v>
      </c>
      <c r="D77">
        <v>0</v>
      </c>
      <c r="E77" t="s">
        <v>29</v>
      </c>
      <c r="F77">
        <v>45546.160797453704</v>
      </c>
      <c r="G77">
        <v>0</v>
      </c>
      <c r="H77" t="s">
        <v>18</v>
      </c>
    </row>
    <row r="78" spans="2:11" x14ac:dyDescent="0.25">
      <c r="B78" t="s">
        <v>44</v>
      </c>
      <c r="C78">
        <v>0</v>
      </c>
      <c r="D78">
        <v>0</v>
      </c>
      <c r="E78" t="s">
        <v>29</v>
      </c>
      <c r="F78">
        <v>45546.160797453704</v>
      </c>
      <c r="G78">
        <v>0</v>
      </c>
      <c r="H78" t="s">
        <v>18</v>
      </c>
    </row>
    <row r="79" spans="2:11" x14ac:dyDescent="0.25">
      <c r="B79" t="s">
        <v>44</v>
      </c>
      <c r="C79">
        <v>0</v>
      </c>
      <c r="D79">
        <v>0</v>
      </c>
      <c r="E79" t="s">
        <v>29</v>
      </c>
      <c r="F79">
        <v>45546.160797453704</v>
      </c>
      <c r="G79">
        <v>0</v>
      </c>
      <c r="H79" t="s">
        <v>18</v>
      </c>
    </row>
    <row r="80" spans="2:11" x14ac:dyDescent="0.25">
      <c r="B80" t="s">
        <v>44</v>
      </c>
      <c r="C80">
        <v>0</v>
      </c>
      <c r="D80">
        <v>0</v>
      </c>
      <c r="E80" t="s">
        <v>29</v>
      </c>
      <c r="F80">
        <v>45546.160797453704</v>
      </c>
      <c r="G80">
        <v>0</v>
      </c>
      <c r="H80" t="s">
        <v>18</v>
      </c>
    </row>
    <row r="81" spans="2:8" x14ac:dyDescent="0.25">
      <c r="B81" t="s">
        <v>44</v>
      </c>
      <c r="C81">
        <v>0</v>
      </c>
      <c r="D81">
        <v>0</v>
      </c>
      <c r="E81" t="s">
        <v>29</v>
      </c>
      <c r="F81">
        <v>45546.160797453704</v>
      </c>
      <c r="G81">
        <v>0</v>
      </c>
      <c r="H81" t="s">
        <v>18</v>
      </c>
    </row>
    <row r="82" spans="2:8" x14ac:dyDescent="0.25">
      <c r="B82" t="s">
        <v>44</v>
      </c>
      <c r="C82">
        <v>0</v>
      </c>
      <c r="D82">
        <v>0</v>
      </c>
      <c r="E82" t="s">
        <v>29</v>
      </c>
      <c r="F82">
        <v>45546.160797453704</v>
      </c>
      <c r="G82">
        <v>0</v>
      </c>
      <c r="H82" t="s">
        <v>18</v>
      </c>
    </row>
    <row r="83" spans="2:8" x14ac:dyDescent="0.25">
      <c r="B83" t="s">
        <v>44</v>
      </c>
      <c r="C83">
        <v>0</v>
      </c>
      <c r="D83">
        <v>0</v>
      </c>
      <c r="E83" t="s">
        <v>29</v>
      </c>
      <c r="F83">
        <v>45546.160797453704</v>
      </c>
      <c r="G83">
        <v>0</v>
      </c>
      <c r="H83" t="s">
        <v>18</v>
      </c>
    </row>
    <row r="84" spans="2:8" x14ac:dyDescent="0.25">
      <c r="B84" t="s">
        <v>44</v>
      </c>
      <c r="C84">
        <v>0</v>
      </c>
      <c r="D84">
        <v>0</v>
      </c>
      <c r="E84" t="s">
        <v>29</v>
      </c>
      <c r="F84">
        <v>45546.160797453704</v>
      </c>
      <c r="G84">
        <v>0</v>
      </c>
      <c r="H84" t="s">
        <v>18</v>
      </c>
    </row>
    <row r="85" spans="2:8" x14ac:dyDescent="0.25">
      <c r="B85" t="s">
        <v>44</v>
      </c>
      <c r="C85">
        <v>0</v>
      </c>
      <c r="D85">
        <v>0</v>
      </c>
      <c r="E85" t="s">
        <v>29</v>
      </c>
      <c r="F85">
        <v>45546.160797453704</v>
      </c>
      <c r="G85">
        <v>0</v>
      </c>
      <c r="H85" t="s">
        <v>18</v>
      </c>
    </row>
    <row r="86" spans="2:8" x14ac:dyDescent="0.25">
      <c r="B86" t="s">
        <v>44</v>
      </c>
      <c r="C86">
        <v>0</v>
      </c>
      <c r="D86">
        <v>0</v>
      </c>
      <c r="E86" t="s">
        <v>29</v>
      </c>
      <c r="F86">
        <v>45546.160797453704</v>
      </c>
      <c r="G86">
        <v>0</v>
      </c>
      <c r="H86" t="s">
        <v>18</v>
      </c>
    </row>
    <row r="87" spans="2:8" x14ac:dyDescent="0.25">
      <c r="B87" t="s">
        <v>44</v>
      </c>
      <c r="C87">
        <v>0</v>
      </c>
      <c r="D87">
        <v>0</v>
      </c>
      <c r="E87" t="s">
        <v>29</v>
      </c>
      <c r="F87">
        <v>45546.160797453704</v>
      </c>
      <c r="G87">
        <v>0</v>
      </c>
      <c r="H87" t="s">
        <v>18</v>
      </c>
    </row>
    <row r="88" spans="2:8" x14ac:dyDescent="0.25">
      <c r="B88" t="s">
        <v>44</v>
      </c>
      <c r="C88">
        <v>0</v>
      </c>
      <c r="D88">
        <v>0</v>
      </c>
      <c r="E88" t="s">
        <v>29</v>
      </c>
      <c r="F88">
        <v>45546.160797453704</v>
      </c>
      <c r="G88">
        <v>0</v>
      </c>
      <c r="H88" t="s">
        <v>18</v>
      </c>
    </row>
    <row r="89" spans="2:8" x14ac:dyDescent="0.25">
      <c r="B89" t="s">
        <v>44</v>
      </c>
      <c r="C89">
        <v>0</v>
      </c>
      <c r="D89">
        <v>0</v>
      </c>
      <c r="E89" t="s">
        <v>29</v>
      </c>
      <c r="F89">
        <v>45546.160797453704</v>
      </c>
      <c r="G89">
        <v>0</v>
      </c>
      <c r="H89" t="s">
        <v>18</v>
      </c>
    </row>
    <row r="90" spans="2:8" x14ac:dyDescent="0.25">
      <c r="B90" t="s">
        <v>44</v>
      </c>
      <c r="C90">
        <v>0</v>
      </c>
      <c r="D90">
        <v>0</v>
      </c>
      <c r="E90" t="s">
        <v>29</v>
      </c>
      <c r="F90">
        <v>45546.160797453704</v>
      </c>
      <c r="G90">
        <v>0</v>
      </c>
      <c r="H90" t="s">
        <v>18</v>
      </c>
    </row>
    <row r="91" spans="2:8" x14ac:dyDescent="0.25">
      <c r="B91" t="s">
        <v>44</v>
      </c>
      <c r="C91">
        <v>0</v>
      </c>
      <c r="D91">
        <v>0</v>
      </c>
      <c r="E91" t="s">
        <v>29</v>
      </c>
      <c r="F91">
        <v>45546.160797453704</v>
      </c>
      <c r="G91">
        <v>0</v>
      </c>
      <c r="H91" t="s">
        <v>18</v>
      </c>
    </row>
    <row r="92" spans="2:8" x14ac:dyDescent="0.25">
      <c r="B92" t="s">
        <v>44</v>
      </c>
      <c r="C92">
        <v>0</v>
      </c>
      <c r="D92">
        <v>0</v>
      </c>
      <c r="E92" t="s">
        <v>29</v>
      </c>
      <c r="F92">
        <v>45546.160797453704</v>
      </c>
      <c r="G92">
        <v>0</v>
      </c>
      <c r="H92" t="s">
        <v>18</v>
      </c>
    </row>
    <row r="93" spans="2:8" x14ac:dyDescent="0.25">
      <c r="B93" t="s">
        <v>44</v>
      </c>
      <c r="C93">
        <v>0</v>
      </c>
      <c r="D93">
        <v>0</v>
      </c>
      <c r="E93" t="s">
        <v>29</v>
      </c>
      <c r="F93">
        <v>45546.160797453704</v>
      </c>
      <c r="G93">
        <v>0</v>
      </c>
      <c r="H93" t="s">
        <v>18</v>
      </c>
    </row>
    <row r="94" spans="2:8" x14ac:dyDescent="0.25">
      <c r="B94" t="s">
        <v>44</v>
      </c>
      <c r="C94">
        <v>0</v>
      </c>
      <c r="D94">
        <v>0</v>
      </c>
      <c r="E94" t="s">
        <v>29</v>
      </c>
      <c r="F94">
        <v>45546.160797453704</v>
      </c>
      <c r="G94">
        <v>0</v>
      </c>
      <c r="H94" t="s">
        <v>18</v>
      </c>
    </row>
    <row r="95" spans="2:8" x14ac:dyDescent="0.25">
      <c r="B95" t="s">
        <v>44</v>
      </c>
      <c r="C95">
        <v>0</v>
      </c>
      <c r="D95">
        <v>0</v>
      </c>
      <c r="E95" t="s">
        <v>29</v>
      </c>
      <c r="F95">
        <v>45546.160797453704</v>
      </c>
      <c r="G95">
        <v>0</v>
      </c>
      <c r="H95" t="s">
        <v>18</v>
      </c>
    </row>
    <row r="96" spans="2:8" x14ac:dyDescent="0.25">
      <c r="B96" t="s">
        <v>44</v>
      </c>
      <c r="C96">
        <v>0</v>
      </c>
      <c r="D96">
        <v>0</v>
      </c>
      <c r="E96" t="s">
        <v>29</v>
      </c>
      <c r="F96">
        <v>45546.160797453704</v>
      </c>
      <c r="G96">
        <v>0</v>
      </c>
      <c r="H96" t="s">
        <v>18</v>
      </c>
    </row>
    <row r="97" spans="2:8" x14ac:dyDescent="0.25">
      <c r="B97" t="s">
        <v>44</v>
      </c>
      <c r="C97">
        <v>0</v>
      </c>
      <c r="D97">
        <v>0</v>
      </c>
      <c r="E97" t="s">
        <v>29</v>
      </c>
      <c r="F97">
        <v>45546.160797453704</v>
      </c>
      <c r="G97">
        <v>0</v>
      </c>
      <c r="H97" t="s">
        <v>18</v>
      </c>
    </row>
    <row r="98" spans="2:8" x14ac:dyDescent="0.25">
      <c r="B98" t="s">
        <v>44</v>
      </c>
      <c r="C98">
        <v>0</v>
      </c>
      <c r="D98">
        <v>0</v>
      </c>
      <c r="E98" t="s">
        <v>29</v>
      </c>
      <c r="F98">
        <v>45546.160797453704</v>
      </c>
      <c r="G98">
        <v>0</v>
      </c>
      <c r="H98" t="s">
        <v>18</v>
      </c>
    </row>
    <row r="99" spans="2:8" x14ac:dyDescent="0.25">
      <c r="B99" t="s">
        <v>44</v>
      </c>
      <c r="C99">
        <v>0</v>
      </c>
      <c r="D99">
        <v>0</v>
      </c>
      <c r="E99" t="s">
        <v>29</v>
      </c>
      <c r="F99">
        <v>45546.160797453704</v>
      </c>
      <c r="G99">
        <v>0</v>
      </c>
      <c r="H99" t="s">
        <v>18</v>
      </c>
    </row>
    <row r="100" spans="2:8" x14ac:dyDescent="0.25">
      <c r="B100" t="s">
        <v>44</v>
      </c>
      <c r="C100">
        <v>0</v>
      </c>
      <c r="D100">
        <v>0</v>
      </c>
      <c r="E100" t="s">
        <v>29</v>
      </c>
      <c r="F100">
        <v>45546.160797453704</v>
      </c>
      <c r="G100">
        <v>0</v>
      </c>
      <c r="H100" t="s">
        <v>18</v>
      </c>
    </row>
    <row r="101" spans="2:8" x14ac:dyDescent="0.25">
      <c r="B101" t="s">
        <v>44</v>
      </c>
      <c r="C101">
        <v>0</v>
      </c>
      <c r="D101">
        <v>0</v>
      </c>
      <c r="E101" t="s">
        <v>29</v>
      </c>
      <c r="F101">
        <v>45546.160797453704</v>
      </c>
      <c r="G101">
        <v>0</v>
      </c>
      <c r="H101" t="s">
        <v>18</v>
      </c>
    </row>
    <row r="102" spans="2:8" x14ac:dyDescent="0.25">
      <c r="B102" t="s">
        <v>44</v>
      </c>
      <c r="C102">
        <v>0</v>
      </c>
      <c r="D102">
        <v>0</v>
      </c>
      <c r="E102" t="s">
        <v>29</v>
      </c>
      <c r="F102">
        <v>45546.160797453704</v>
      </c>
      <c r="G102">
        <v>0</v>
      </c>
      <c r="H102" t="s">
        <v>18</v>
      </c>
    </row>
    <row r="103" spans="2:8" x14ac:dyDescent="0.25">
      <c r="B103" t="s">
        <v>44</v>
      </c>
      <c r="C103">
        <v>0</v>
      </c>
      <c r="D103">
        <v>0</v>
      </c>
      <c r="E103" t="s">
        <v>29</v>
      </c>
      <c r="F103">
        <v>45546.160797453704</v>
      </c>
      <c r="G103">
        <v>0</v>
      </c>
      <c r="H103" t="s">
        <v>18</v>
      </c>
    </row>
    <row r="104" spans="2:8" x14ac:dyDescent="0.25">
      <c r="B104" t="s">
        <v>44</v>
      </c>
      <c r="C104">
        <v>0</v>
      </c>
      <c r="D104">
        <v>0</v>
      </c>
      <c r="E104" t="s">
        <v>29</v>
      </c>
      <c r="F104">
        <v>45546.160797453704</v>
      </c>
      <c r="G104">
        <v>0</v>
      </c>
      <c r="H104" t="s">
        <v>18</v>
      </c>
    </row>
    <row r="105" spans="2:8" x14ac:dyDescent="0.25">
      <c r="B105" s="31" t="s">
        <v>44</v>
      </c>
      <c r="C105" s="31">
        <v>0</v>
      </c>
      <c r="D105" s="31">
        <v>0</v>
      </c>
      <c r="E105" s="31" t="s">
        <v>29</v>
      </c>
      <c r="F105" s="31">
        <v>45546.160797453704</v>
      </c>
      <c r="G105" s="31">
        <v>0</v>
      </c>
      <c r="H105" s="31" t="s">
        <v>18</v>
      </c>
    </row>
    <row r="106" spans="2:8" x14ac:dyDescent="0.25">
      <c r="B106" s="31" t="s">
        <v>44</v>
      </c>
      <c r="C106" s="31" t="s">
        <v>45</v>
      </c>
      <c r="D106" s="31" t="s">
        <v>46</v>
      </c>
      <c r="E106" s="31" t="s">
        <v>29</v>
      </c>
      <c r="F106" s="31">
        <v>45546.160797453704</v>
      </c>
      <c r="G106" s="31">
        <v>0</v>
      </c>
      <c r="H106" s="31" t="s">
        <v>18</v>
      </c>
    </row>
    <row r="107" spans="2:8" hidden="1" x14ac:dyDescent="0.25">
      <c r="B107" s="31">
        <v>0</v>
      </c>
      <c r="C107" s="31">
        <v>0</v>
      </c>
      <c r="D107" s="31">
        <v>0</v>
      </c>
      <c r="E107" s="31">
        <v>0</v>
      </c>
      <c r="F107" s="31">
        <v>0</v>
      </c>
      <c r="G107" s="31">
        <v>0</v>
      </c>
      <c r="H107" s="31">
        <v>0</v>
      </c>
    </row>
    <row r="108" spans="2:8" x14ac:dyDescent="0.25">
      <c r="B108" s="31" t="s">
        <v>41</v>
      </c>
      <c r="C108" s="31" t="s">
        <v>42</v>
      </c>
      <c r="D108" s="31" t="s">
        <v>43</v>
      </c>
      <c r="E108" s="31" t="s">
        <v>25</v>
      </c>
      <c r="F108" s="31">
        <v>45545.219111342594</v>
      </c>
      <c r="G108" s="31">
        <v>0</v>
      </c>
      <c r="H108" s="31" t="s">
        <v>16</v>
      </c>
    </row>
    <row r="109" spans="2:8" hidden="1" x14ac:dyDescent="0.25">
      <c r="B109" s="31">
        <v>0</v>
      </c>
      <c r="C109" s="31">
        <v>0</v>
      </c>
      <c r="D109" s="31">
        <v>0</v>
      </c>
      <c r="E109" s="31">
        <v>0</v>
      </c>
      <c r="F109" s="31">
        <v>0</v>
      </c>
      <c r="G109" s="31">
        <v>0</v>
      </c>
      <c r="H109" s="31">
        <v>0</v>
      </c>
    </row>
    <row r="110" spans="2:8" x14ac:dyDescent="0.25">
      <c r="B110" s="31" t="s">
        <v>38</v>
      </c>
      <c r="C110" s="31" t="s">
        <v>39</v>
      </c>
      <c r="D110" s="31" t="s">
        <v>40</v>
      </c>
      <c r="E110" s="31" t="s">
        <v>25</v>
      </c>
      <c r="F110" s="31">
        <v>45545.216310532407</v>
      </c>
      <c r="G110" s="31">
        <v>0</v>
      </c>
      <c r="H110" s="31" t="s">
        <v>16</v>
      </c>
    </row>
    <row r="111" spans="2:8" x14ac:dyDescent="0.25">
      <c r="B111" s="31" t="s">
        <v>32</v>
      </c>
      <c r="C111" s="31" t="s">
        <v>36</v>
      </c>
      <c r="D111" s="31" t="s">
        <v>37</v>
      </c>
      <c r="E111" s="31" t="s">
        <v>33</v>
      </c>
      <c r="F111" s="31">
        <v>45545.21531122685</v>
      </c>
      <c r="G111" s="31">
        <v>0</v>
      </c>
      <c r="H111" s="31" t="s">
        <v>16</v>
      </c>
    </row>
    <row r="112" spans="2:8" x14ac:dyDescent="0.25">
      <c r="B112" s="31" t="s">
        <v>32</v>
      </c>
      <c r="C112" s="31">
        <v>0</v>
      </c>
      <c r="D112" s="31">
        <v>0</v>
      </c>
      <c r="E112" s="31" t="s">
        <v>33</v>
      </c>
      <c r="F112" s="31">
        <v>45545.21531122685</v>
      </c>
      <c r="G112" s="31">
        <v>0</v>
      </c>
      <c r="H112" s="31" t="s">
        <v>16</v>
      </c>
    </row>
    <row r="113" spans="2:8" x14ac:dyDescent="0.25">
      <c r="B113" s="31" t="s">
        <v>32</v>
      </c>
      <c r="C113" s="31">
        <v>0</v>
      </c>
      <c r="D113" s="31">
        <v>0</v>
      </c>
      <c r="E113" s="31" t="s">
        <v>33</v>
      </c>
      <c r="F113" s="31">
        <v>45545.21531122685</v>
      </c>
      <c r="G113" s="31">
        <v>0</v>
      </c>
      <c r="H113" s="31" t="s">
        <v>16</v>
      </c>
    </row>
    <row r="114" spans="2:8" x14ac:dyDescent="0.25">
      <c r="B114" s="31" t="s">
        <v>32</v>
      </c>
      <c r="C114" s="31">
        <v>0</v>
      </c>
      <c r="D114" s="31">
        <v>0</v>
      </c>
      <c r="E114" s="31" t="s">
        <v>33</v>
      </c>
      <c r="F114" s="31">
        <v>45545.21531122685</v>
      </c>
      <c r="G114" s="31">
        <v>0</v>
      </c>
      <c r="H114" s="31" t="s">
        <v>16</v>
      </c>
    </row>
    <row r="115" spans="2:8" x14ac:dyDescent="0.25">
      <c r="B115" s="31" t="s">
        <v>32</v>
      </c>
      <c r="C115" s="31">
        <v>0</v>
      </c>
      <c r="D115" s="31">
        <v>0</v>
      </c>
      <c r="E115" s="31" t="s">
        <v>33</v>
      </c>
      <c r="F115" s="31">
        <v>45545.21531122685</v>
      </c>
      <c r="G115" s="31">
        <v>0</v>
      </c>
      <c r="H115" s="31" t="s">
        <v>16</v>
      </c>
    </row>
    <row r="116" spans="2:8" x14ac:dyDescent="0.25">
      <c r="B116" s="31" t="s">
        <v>32</v>
      </c>
      <c r="C116" s="31">
        <v>0</v>
      </c>
      <c r="D116" s="31">
        <v>0</v>
      </c>
      <c r="E116" s="31" t="s">
        <v>33</v>
      </c>
      <c r="F116" s="31">
        <v>45545.21531122685</v>
      </c>
      <c r="G116" s="31">
        <v>0</v>
      </c>
      <c r="H116" s="31" t="s">
        <v>16</v>
      </c>
    </row>
    <row r="117" spans="2:8" x14ac:dyDescent="0.25">
      <c r="B117" s="31" t="s">
        <v>32</v>
      </c>
      <c r="C117" s="31">
        <v>0</v>
      </c>
      <c r="D117" s="31">
        <v>0</v>
      </c>
      <c r="E117" s="31" t="s">
        <v>33</v>
      </c>
      <c r="F117" s="31">
        <v>45545.21531122685</v>
      </c>
      <c r="G117" s="31">
        <v>0</v>
      </c>
      <c r="H117" s="31" t="s">
        <v>16</v>
      </c>
    </row>
    <row r="118" spans="2:8" x14ac:dyDescent="0.25">
      <c r="B118" s="31" t="s">
        <v>32</v>
      </c>
      <c r="C118" s="31">
        <v>0</v>
      </c>
      <c r="D118" s="31">
        <v>0</v>
      </c>
      <c r="E118" s="31" t="s">
        <v>33</v>
      </c>
      <c r="F118" s="31">
        <v>45545.21531122685</v>
      </c>
      <c r="G118" s="31">
        <v>0</v>
      </c>
      <c r="H118" s="31" t="s">
        <v>16</v>
      </c>
    </row>
    <row r="119" spans="2:8" x14ac:dyDescent="0.25">
      <c r="B119" s="31" t="s">
        <v>32</v>
      </c>
      <c r="C119" s="31">
        <v>0</v>
      </c>
      <c r="D119" s="31">
        <v>0</v>
      </c>
      <c r="E119" s="31" t="s">
        <v>33</v>
      </c>
      <c r="F119" s="31">
        <v>45545.21531122685</v>
      </c>
      <c r="G119" s="31">
        <v>0</v>
      </c>
      <c r="H119" s="31" t="s">
        <v>16</v>
      </c>
    </row>
    <row r="120" spans="2:8" x14ac:dyDescent="0.25">
      <c r="B120" s="31" t="s">
        <v>32</v>
      </c>
      <c r="C120" s="31">
        <v>0</v>
      </c>
      <c r="D120" s="31">
        <v>0</v>
      </c>
      <c r="E120" s="31" t="s">
        <v>33</v>
      </c>
      <c r="F120" s="31">
        <v>45545.21531122685</v>
      </c>
      <c r="G120" s="31">
        <v>0</v>
      </c>
      <c r="H120" s="31" t="s">
        <v>16</v>
      </c>
    </row>
    <row r="121" spans="2:8" x14ac:dyDescent="0.25">
      <c r="B121" s="31" t="s">
        <v>32</v>
      </c>
      <c r="C121" s="31">
        <v>0</v>
      </c>
      <c r="D121" s="31">
        <v>0</v>
      </c>
      <c r="E121" s="31" t="s">
        <v>33</v>
      </c>
      <c r="F121" s="31">
        <v>45545.21531122685</v>
      </c>
      <c r="G121" s="31">
        <v>0</v>
      </c>
      <c r="H121" s="31" t="s">
        <v>16</v>
      </c>
    </row>
    <row r="122" spans="2:8" x14ac:dyDescent="0.25">
      <c r="B122" s="31" t="s">
        <v>32</v>
      </c>
      <c r="C122" s="31">
        <v>0</v>
      </c>
      <c r="D122" s="31">
        <v>0</v>
      </c>
      <c r="E122" s="31" t="s">
        <v>33</v>
      </c>
      <c r="F122" s="31">
        <v>45545.21531122685</v>
      </c>
      <c r="G122" s="31">
        <v>0</v>
      </c>
      <c r="H122" s="31" t="s">
        <v>16</v>
      </c>
    </row>
    <row r="123" spans="2:8" x14ac:dyDescent="0.25">
      <c r="B123" s="31" t="s">
        <v>32</v>
      </c>
      <c r="C123" s="31">
        <v>0</v>
      </c>
      <c r="D123" s="31">
        <v>0</v>
      </c>
      <c r="E123" s="31" t="s">
        <v>33</v>
      </c>
      <c r="F123" s="31">
        <v>45545.21531122685</v>
      </c>
      <c r="G123" s="31">
        <v>0</v>
      </c>
      <c r="H123" s="31" t="s">
        <v>16</v>
      </c>
    </row>
    <row r="124" spans="2:8" x14ac:dyDescent="0.25">
      <c r="B124" s="31" t="s">
        <v>32</v>
      </c>
      <c r="C124" s="31">
        <v>0</v>
      </c>
      <c r="D124" s="31">
        <v>0</v>
      </c>
      <c r="E124" s="31" t="s">
        <v>33</v>
      </c>
      <c r="F124" s="31">
        <v>45545.21531122685</v>
      </c>
      <c r="G124" s="31">
        <v>0</v>
      </c>
      <c r="H124" s="31" t="s">
        <v>16</v>
      </c>
    </row>
    <row r="125" spans="2:8" x14ac:dyDescent="0.25">
      <c r="B125" s="31" t="s">
        <v>32</v>
      </c>
      <c r="C125" s="31">
        <v>0</v>
      </c>
      <c r="D125" s="31">
        <v>0</v>
      </c>
      <c r="E125" s="31" t="s">
        <v>33</v>
      </c>
      <c r="F125" s="31">
        <v>45545.21531122685</v>
      </c>
      <c r="G125" s="31">
        <v>0</v>
      </c>
      <c r="H125" s="31" t="s">
        <v>16</v>
      </c>
    </row>
    <row r="126" spans="2:8" x14ac:dyDescent="0.25">
      <c r="B126" s="31" t="s">
        <v>32</v>
      </c>
      <c r="C126" s="31">
        <v>0</v>
      </c>
      <c r="D126" s="31">
        <v>0</v>
      </c>
      <c r="E126" s="31" t="s">
        <v>33</v>
      </c>
      <c r="F126" s="31">
        <v>45545.21531122685</v>
      </c>
      <c r="G126" s="31">
        <v>0</v>
      </c>
      <c r="H126" s="31" t="s">
        <v>16</v>
      </c>
    </row>
    <row r="127" spans="2:8" x14ac:dyDescent="0.25">
      <c r="B127" s="31" t="s">
        <v>32</v>
      </c>
      <c r="C127" s="31">
        <v>0</v>
      </c>
      <c r="D127" s="31">
        <v>0</v>
      </c>
      <c r="E127" s="31" t="s">
        <v>33</v>
      </c>
      <c r="F127" s="31">
        <v>45545.21531122685</v>
      </c>
      <c r="G127" s="31">
        <v>0</v>
      </c>
      <c r="H127" s="31" t="s">
        <v>16</v>
      </c>
    </row>
    <row r="128" spans="2:8" x14ac:dyDescent="0.25">
      <c r="B128" s="31" t="s">
        <v>32</v>
      </c>
      <c r="C128" s="31">
        <v>0</v>
      </c>
      <c r="D128" s="31">
        <v>0</v>
      </c>
      <c r="E128" s="31" t="s">
        <v>33</v>
      </c>
      <c r="F128" s="31">
        <v>45545.21531122685</v>
      </c>
      <c r="G128" s="31">
        <v>0</v>
      </c>
      <c r="H128" s="31" t="s">
        <v>16</v>
      </c>
    </row>
    <row r="129" spans="2:8" x14ac:dyDescent="0.25">
      <c r="B129" s="31" t="s">
        <v>32</v>
      </c>
      <c r="C129" s="31">
        <v>0</v>
      </c>
      <c r="D129" s="31">
        <v>0</v>
      </c>
      <c r="E129" s="31" t="s">
        <v>33</v>
      </c>
      <c r="F129" s="31">
        <v>45545.21531122685</v>
      </c>
      <c r="G129" s="31">
        <v>0</v>
      </c>
      <c r="H129" s="31" t="s">
        <v>16</v>
      </c>
    </row>
    <row r="130" spans="2:8" x14ac:dyDescent="0.25">
      <c r="B130" s="31" t="s">
        <v>32</v>
      </c>
      <c r="C130" s="31">
        <v>0</v>
      </c>
      <c r="D130" s="31">
        <v>0</v>
      </c>
      <c r="E130" s="31" t="s">
        <v>33</v>
      </c>
      <c r="F130" s="31">
        <v>45545.21531122685</v>
      </c>
      <c r="G130" s="31">
        <v>0</v>
      </c>
      <c r="H130" s="31" t="s">
        <v>16</v>
      </c>
    </row>
    <row r="131" spans="2:8" x14ac:dyDescent="0.25">
      <c r="B131" s="31" t="s">
        <v>32</v>
      </c>
      <c r="C131" s="31">
        <v>0</v>
      </c>
      <c r="D131" s="31">
        <v>0</v>
      </c>
      <c r="E131" s="31" t="s">
        <v>33</v>
      </c>
      <c r="F131" s="31">
        <v>45545.21531122685</v>
      </c>
      <c r="G131" s="31">
        <v>0</v>
      </c>
      <c r="H131" s="31" t="s">
        <v>16</v>
      </c>
    </row>
    <row r="132" spans="2:8" x14ac:dyDescent="0.25">
      <c r="B132" s="31" t="s">
        <v>32</v>
      </c>
      <c r="C132" s="31">
        <v>0</v>
      </c>
      <c r="D132" s="31">
        <v>0</v>
      </c>
      <c r="E132" s="31" t="s">
        <v>33</v>
      </c>
      <c r="F132" s="31">
        <v>45545.21531122685</v>
      </c>
      <c r="G132" s="31">
        <v>0</v>
      </c>
      <c r="H132" s="31" t="s">
        <v>16</v>
      </c>
    </row>
    <row r="133" spans="2:8" x14ac:dyDescent="0.25">
      <c r="B133" s="31" t="s">
        <v>32</v>
      </c>
      <c r="C133" s="31">
        <v>0</v>
      </c>
      <c r="D133" s="31">
        <v>0</v>
      </c>
      <c r="E133" s="31" t="s">
        <v>33</v>
      </c>
      <c r="F133" s="31">
        <v>45545.21531122685</v>
      </c>
      <c r="G133" s="31">
        <v>0</v>
      </c>
      <c r="H133" s="31" t="s">
        <v>16</v>
      </c>
    </row>
    <row r="134" spans="2:8" x14ac:dyDescent="0.25">
      <c r="B134" s="31" t="s">
        <v>32</v>
      </c>
      <c r="C134" s="31">
        <v>0</v>
      </c>
      <c r="D134" s="31">
        <v>0</v>
      </c>
      <c r="E134" s="31" t="s">
        <v>33</v>
      </c>
      <c r="F134" s="31">
        <v>45545.21531122685</v>
      </c>
      <c r="G134" s="31">
        <v>0</v>
      </c>
      <c r="H134" s="31" t="s">
        <v>16</v>
      </c>
    </row>
    <row r="135" spans="2:8" x14ac:dyDescent="0.25">
      <c r="B135" s="31" t="s">
        <v>32</v>
      </c>
      <c r="C135" s="31" t="s">
        <v>34</v>
      </c>
      <c r="D135" s="31" t="s">
        <v>35</v>
      </c>
      <c r="E135" s="31" t="s">
        <v>33</v>
      </c>
      <c r="F135" s="31">
        <v>45545.21531122685</v>
      </c>
      <c r="G135" s="31">
        <v>0</v>
      </c>
      <c r="H135" s="31" t="s">
        <v>16</v>
      </c>
    </row>
    <row r="136" spans="2:8" hidden="1" x14ac:dyDescent="0.25">
      <c r="B136" s="31">
        <v>0</v>
      </c>
      <c r="C136" s="31">
        <v>0</v>
      </c>
      <c r="D136" s="31">
        <v>0</v>
      </c>
      <c r="E136" s="31">
        <v>0</v>
      </c>
      <c r="F136" s="31">
        <v>0</v>
      </c>
      <c r="G136" s="31">
        <v>0</v>
      </c>
      <c r="H136" s="31">
        <v>0</v>
      </c>
    </row>
    <row r="137" spans="2:8" hidden="1" x14ac:dyDescent="0.25">
      <c r="B137" s="31">
        <v>0</v>
      </c>
      <c r="C137" s="31">
        <v>0</v>
      </c>
      <c r="D137" s="31">
        <v>0</v>
      </c>
      <c r="E137" s="31">
        <v>0</v>
      </c>
      <c r="F137" s="31">
        <v>0</v>
      </c>
      <c r="G137" s="31">
        <v>0</v>
      </c>
      <c r="H137" s="31">
        <v>0</v>
      </c>
    </row>
    <row r="138" spans="2:8" x14ac:dyDescent="0.25">
      <c r="B138" s="31" t="s">
        <v>28</v>
      </c>
      <c r="C138" s="31" t="s">
        <v>30</v>
      </c>
      <c r="D138" s="31" t="s">
        <v>31</v>
      </c>
      <c r="E138" s="31" t="s">
        <v>29</v>
      </c>
      <c r="F138" s="31">
        <v>0</v>
      </c>
      <c r="G138" s="31">
        <v>0</v>
      </c>
      <c r="H138" s="31" t="s">
        <v>16</v>
      </c>
    </row>
    <row r="139" spans="2:8" x14ac:dyDescent="0.25">
      <c r="B139" s="31" t="s">
        <v>24</v>
      </c>
      <c r="C139" s="31" t="s">
        <v>26</v>
      </c>
      <c r="D139" s="31" t="s">
        <v>27</v>
      </c>
      <c r="E139" s="31" t="s">
        <v>25</v>
      </c>
      <c r="F139" s="31">
        <v>45545.20968310185</v>
      </c>
      <c r="G139" s="31">
        <v>0</v>
      </c>
      <c r="H139" s="31" t="s">
        <v>16</v>
      </c>
    </row>
    <row r="140" spans="2:8" hidden="1" x14ac:dyDescent="0.25">
      <c r="B140" s="31"/>
      <c r="C140" s="31"/>
      <c r="D140" s="31"/>
      <c r="E140" s="31"/>
      <c r="F140" s="31"/>
      <c r="G140" s="31"/>
      <c r="H140" s="31"/>
    </row>
    <row r="141" spans="2:8" hidden="1" x14ac:dyDescent="0.25">
      <c r="B141" s="31"/>
      <c r="C141" s="31"/>
      <c r="D141" s="31"/>
      <c r="E141" s="31"/>
      <c r="F141" s="31"/>
      <c r="G141" s="31"/>
      <c r="H141" s="31"/>
    </row>
    <row r="142" spans="2:8" hidden="1" x14ac:dyDescent="0.25"/>
  </sheetData>
  <mergeCells count="1">
    <mergeCell ref="B3:H5"/>
  </mergeCells>
  <conditionalFormatting sqref="B7:H40">
    <cfRule type="expression" dxfId="0" priority="1">
      <formula>SEARCH(#REF!,$B7)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14"/>
  <sheetViews>
    <sheetView zoomScale="70" zoomScaleNormal="70" workbookViewId="0">
      <selection activeCell="G43" sqref="G43"/>
    </sheetView>
  </sheetViews>
  <sheetFormatPr defaultRowHeight="15" x14ac:dyDescent="0.25"/>
  <cols>
    <col min="1" max="1" width="0.5703125" customWidth="1"/>
    <col min="2" max="2" width="37.28515625" customWidth="1"/>
    <col min="3" max="3" width="22.85546875" customWidth="1"/>
    <col min="4" max="4" width="41" customWidth="1"/>
    <col min="5" max="5" width="25" customWidth="1"/>
    <col min="6" max="6" width="24.140625" customWidth="1"/>
    <col min="7" max="7" width="37.85546875" customWidth="1"/>
    <col min="8" max="8" width="22.85546875" customWidth="1"/>
    <col min="9" max="9" width="24.42578125" customWidth="1"/>
  </cols>
  <sheetData>
    <row r="2" spans="2:9" ht="15.75" thickBot="1" x14ac:dyDescent="0.3"/>
    <row r="3" spans="2:9" ht="53.25" customHeight="1" thickBot="1" x14ac:dyDescent="0.95">
      <c r="B3" s="97" t="s">
        <v>47</v>
      </c>
      <c r="C3" s="98"/>
      <c r="D3" s="99" t="s">
        <v>54</v>
      </c>
      <c r="E3" s="99"/>
      <c r="F3" s="99"/>
      <c r="G3" s="99" t="s">
        <v>50</v>
      </c>
      <c r="H3" s="99"/>
      <c r="I3" s="100"/>
    </row>
    <row r="4" spans="2:9" ht="33.75" x14ac:dyDescent="0.5">
      <c r="B4" s="39" t="s">
        <v>1</v>
      </c>
      <c r="C4" s="40" t="s">
        <v>51</v>
      </c>
      <c r="D4" s="40" t="s">
        <v>56</v>
      </c>
      <c r="E4" s="41" t="s">
        <v>57</v>
      </c>
      <c r="F4" s="41" t="s">
        <v>58</v>
      </c>
      <c r="G4" s="40" t="s">
        <v>52</v>
      </c>
      <c r="H4" s="41" t="s">
        <v>55</v>
      </c>
      <c r="I4" s="42" t="s">
        <v>53</v>
      </c>
    </row>
    <row r="5" spans="2:9" ht="36" x14ac:dyDescent="0.55000000000000004">
      <c r="B5" s="53" t="s">
        <v>59</v>
      </c>
      <c r="C5" s="53">
        <v>2022</v>
      </c>
      <c r="D5" s="52" t="s">
        <v>28</v>
      </c>
      <c r="E5" s="53" t="s">
        <v>60</v>
      </c>
      <c r="F5" s="55" t="s">
        <v>60</v>
      </c>
      <c r="G5" s="53" t="s">
        <v>112</v>
      </c>
      <c r="H5" s="53" t="s">
        <v>113</v>
      </c>
      <c r="I5" s="53">
        <v>2021</v>
      </c>
    </row>
    <row r="6" spans="2:9" ht="36" x14ac:dyDescent="0.55000000000000004">
      <c r="B6" s="43"/>
      <c r="C6" s="43"/>
      <c r="D6" s="52"/>
      <c r="E6" s="53"/>
      <c r="F6" s="55"/>
      <c r="G6" s="43"/>
      <c r="H6" s="43"/>
      <c r="I6" s="43"/>
    </row>
    <row r="7" spans="2:9" ht="36" x14ac:dyDescent="0.55000000000000004">
      <c r="B7" s="36"/>
      <c r="C7" s="36"/>
      <c r="D7" s="54"/>
      <c r="E7" s="36"/>
      <c r="F7" s="56"/>
      <c r="G7" s="36"/>
      <c r="H7" s="36"/>
      <c r="I7" s="36"/>
    </row>
    <row r="14" spans="2:9" x14ac:dyDescent="0.25">
      <c r="B14" s="37"/>
    </row>
  </sheetData>
  <mergeCells count="3">
    <mergeCell ref="B3:C3"/>
    <mergeCell ref="D3:F3"/>
    <mergeCell ref="G3:I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J8"/>
  <sheetViews>
    <sheetView zoomScale="70" zoomScaleNormal="70" workbookViewId="0">
      <selection activeCell="B4" sqref="B4"/>
    </sheetView>
  </sheetViews>
  <sheetFormatPr defaultRowHeight="15" x14ac:dyDescent="0.25"/>
  <cols>
    <col min="1" max="1" width="1" customWidth="1"/>
    <col min="2" max="2" width="44.5703125" customWidth="1"/>
    <col min="3" max="3" width="45.7109375" customWidth="1"/>
    <col min="4" max="4" width="34.42578125" customWidth="1"/>
    <col min="5" max="5" width="29.5703125" customWidth="1"/>
    <col min="6" max="6" width="29.7109375" customWidth="1"/>
    <col min="7" max="7" width="30.5703125" customWidth="1"/>
    <col min="8" max="8" width="14.42578125" customWidth="1"/>
    <col min="9" max="9" width="12" customWidth="1"/>
  </cols>
  <sheetData>
    <row r="3" spans="2:10" ht="26.25" x14ac:dyDescent="0.4">
      <c r="B3" s="46" t="s">
        <v>106</v>
      </c>
      <c r="C3" s="46" t="s">
        <v>84</v>
      </c>
      <c r="D3" s="46" t="s">
        <v>4</v>
      </c>
      <c r="E3" s="46" t="s">
        <v>85</v>
      </c>
      <c r="F3" s="46" t="s">
        <v>86</v>
      </c>
      <c r="G3" s="46" t="s">
        <v>88</v>
      </c>
      <c r="H3" s="46" t="s">
        <v>87</v>
      </c>
      <c r="I3" s="46" t="s">
        <v>5</v>
      </c>
    </row>
    <row r="4" spans="2:10" ht="16.5" customHeight="1" x14ac:dyDescent="0.25">
      <c r="B4" s="102" t="s">
        <v>28</v>
      </c>
      <c r="C4" s="102">
        <v>0</v>
      </c>
      <c r="D4" s="102">
        <v>0</v>
      </c>
      <c r="E4" s="102">
        <v>0</v>
      </c>
      <c r="F4" s="102">
        <v>0</v>
      </c>
      <c r="G4" s="102">
        <v>45549.823359490743</v>
      </c>
      <c r="H4" s="102">
        <v>0</v>
      </c>
      <c r="I4" s="102" t="s">
        <v>20</v>
      </c>
      <c r="J4" s="101"/>
    </row>
    <row r="5" spans="2:10" ht="16.5" customHeight="1" x14ac:dyDescent="0.25">
      <c r="B5" s="64" t="s">
        <v>28</v>
      </c>
      <c r="C5" s="64">
        <v>0</v>
      </c>
      <c r="D5" s="64">
        <v>0</v>
      </c>
      <c r="E5" s="64">
        <v>0</v>
      </c>
      <c r="F5" s="64">
        <v>0</v>
      </c>
      <c r="G5" s="64">
        <v>45549.823359490743</v>
      </c>
      <c r="H5" s="64">
        <v>0</v>
      </c>
      <c r="I5" s="64" t="s">
        <v>20</v>
      </c>
      <c r="J5" s="65"/>
    </row>
    <row r="6" spans="2:10" ht="16.5" customHeight="1" x14ac:dyDescent="0.25">
      <c r="B6" s="64" t="s">
        <v>28</v>
      </c>
      <c r="C6" s="64" t="s">
        <v>109</v>
      </c>
      <c r="D6" s="64" t="s">
        <v>95</v>
      </c>
      <c r="E6" s="64" t="s">
        <v>111</v>
      </c>
      <c r="F6" s="64">
        <v>2019</v>
      </c>
      <c r="G6" s="64">
        <v>45549.823359490743</v>
      </c>
      <c r="H6" s="64">
        <v>5</v>
      </c>
      <c r="I6" s="64" t="s">
        <v>20</v>
      </c>
    </row>
    <row r="7" spans="2:10" ht="16.5" customHeight="1" x14ac:dyDescent="0.25">
      <c r="B7" s="64" t="s">
        <v>28</v>
      </c>
      <c r="C7" s="64" t="s">
        <v>109</v>
      </c>
      <c r="D7" s="64" t="s">
        <v>95</v>
      </c>
      <c r="E7" s="64" t="s">
        <v>111</v>
      </c>
      <c r="F7" s="64">
        <v>2019</v>
      </c>
      <c r="G7" s="64">
        <v>45549.823359490743</v>
      </c>
      <c r="H7" s="64">
        <v>4</v>
      </c>
      <c r="I7" s="64" t="s">
        <v>20</v>
      </c>
    </row>
    <row r="8" spans="2:10" ht="17.25" customHeight="1" x14ac:dyDescent="0.4">
      <c r="B8" s="46"/>
      <c r="C8" s="64" t="s">
        <v>28</v>
      </c>
      <c r="D8" s="64" t="s">
        <v>109</v>
      </c>
      <c r="E8" s="64" t="s">
        <v>95</v>
      </c>
      <c r="F8" s="64" t="s">
        <v>111</v>
      </c>
      <c r="G8" s="64">
        <v>2019</v>
      </c>
      <c r="H8" s="64">
        <v>45549.823359490743</v>
      </c>
      <c r="I8" s="64">
        <v>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</vt:lpstr>
      <vt:lpstr>Borrow Form</vt:lpstr>
      <vt:lpstr>Search</vt:lpstr>
      <vt:lpstr>Return Books</vt:lpstr>
      <vt:lpstr>Import Books</vt:lpstr>
      <vt:lpstr>Staff</vt:lpstr>
      <vt:lpstr>Helper Sheet</vt:lpstr>
      <vt:lpstr>Database</vt:lpstr>
      <vt:lpstr>Staff Data</vt:lpstr>
      <vt:lpstr>Imported Books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Al-Hijrah</dc:creator>
  <cp:lastModifiedBy>Shah Saad</cp:lastModifiedBy>
  <dcterms:created xsi:type="dcterms:W3CDTF">2024-09-09T14:26:55Z</dcterms:created>
  <dcterms:modified xsi:type="dcterms:W3CDTF">2024-09-30T11:38:30Z</dcterms:modified>
</cp:coreProperties>
</file>